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bla\PycharmProjects\PdfOrderImporter\sample\xlsx\"/>
    </mc:Choice>
  </mc:AlternateContent>
  <xr:revisionPtr revIDLastSave="0" documentId="13_ncr:1_{1EB74004-8E0F-4A14-8C6D-ABAC5D42543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R8.9月16~9月22" sheetId="76" r:id="rId1"/>
  </sheets>
  <definedNames>
    <definedName name="_xlnm.Print_Area" localSheetId="0">'R8.9月16~9月22'!$A$1:$I$38</definedName>
  </definedNames>
  <calcPr calcId="191029"/>
</workbook>
</file>

<file path=xl/calcChain.xml><?xml version="1.0" encoding="utf-8"?>
<calcChain xmlns="http://schemas.openxmlformats.org/spreadsheetml/2006/main">
  <c r="C21" i="76" l="1"/>
  <c r="D21" i="76"/>
  <c r="E21" i="76"/>
  <c r="F21" i="76"/>
  <c r="I23" i="76"/>
  <c r="B32" i="76"/>
  <c r="I27" i="76"/>
  <c r="B21" i="76"/>
  <c r="A23" i="76"/>
  <c r="A24" i="76"/>
  <c r="A25" i="76"/>
  <c r="A26" i="76"/>
  <c r="A27" i="76"/>
  <c r="A28" i="76"/>
  <c r="A22" i="76"/>
  <c r="F32" i="76"/>
  <c r="E32" i="76"/>
  <c r="D32" i="76"/>
  <c r="C32" i="76"/>
  <c r="I31" i="76"/>
  <c r="I30" i="76"/>
  <c r="I29" i="76"/>
  <c r="I28" i="76"/>
  <c r="I26" i="76"/>
  <c r="I25" i="76"/>
  <c r="I22" i="76"/>
  <c r="H33" i="76"/>
  <c r="G33" i="76"/>
  <c r="F19" i="76"/>
  <c r="E19" i="76"/>
  <c r="D19" i="76"/>
  <c r="C19" i="76"/>
  <c r="C33" i="76" s="1"/>
  <c r="B19" i="76"/>
  <c r="I17" i="76"/>
  <c r="I16" i="76"/>
  <c r="I15" i="76"/>
  <c r="I14" i="76"/>
  <c r="I13" i="76"/>
  <c r="I12" i="76"/>
  <c r="I11" i="76"/>
  <c r="I10" i="76"/>
  <c r="I9" i="76"/>
  <c r="I24" i="76" l="1"/>
  <c r="D33" i="76"/>
  <c r="E33" i="76"/>
  <c r="F33" i="76"/>
  <c r="I32" i="76"/>
  <c r="I19" i="76"/>
  <c r="B33" i="76"/>
  <c r="I33" i="76" l="1"/>
  <c r="C35" i="76" s="1"/>
  <c r="C36" i="76"/>
  <c r="C37" i="76" s="1"/>
  <c r="E4" i="76" s="1"/>
</calcChain>
</file>

<file path=xl/sharedStrings.xml><?xml version="1.0" encoding="utf-8"?>
<sst xmlns="http://schemas.openxmlformats.org/spreadsheetml/2006/main" count="26" uniqueCount="24">
  <si>
    <t>請　求　書</t>
  </si>
  <si>
    <t>御請求金額</t>
  </si>
  <si>
    <t>合　計</t>
  </si>
  <si>
    <t>小　　　計</t>
  </si>
  <si>
    <t>返品・欠品</t>
  </si>
  <si>
    <t>合　　　計</t>
  </si>
  <si>
    <t>「*」は軽減税率対象であることを示します。</t>
  </si>
  <si>
    <t>8％対象 税抜</t>
  </si>
  <si>
    <t>消費税等</t>
  </si>
  <si>
    <t>いつもお世話になっております。</t>
  </si>
  <si>
    <t>税込合計</t>
  </si>
  <si>
    <t>以上よろしくお願いいたします。</t>
  </si>
  <si>
    <t>令和8年</t>
  </si>
  <si>
    <t>株式会社　AAA　御中</t>
    <phoneticPr fontId="3"/>
  </si>
  <si>
    <t>登録番号T0000000000</t>
    <phoneticPr fontId="3"/>
  </si>
  <si>
    <t xml:space="preserve">  〒000-0000</t>
    <phoneticPr fontId="3"/>
  </si>
  <si>
    <t>東京都bbb区ccc0-0-0</t>
    <rPh sb="0" eb="3">
      <t>トウキョウト</t>
    </rPh>
    <rPh sb="6" eb="7">
      <t>ク</t>
    </rPh>
    <phoneticPr fontId="3"/>
  </si>
  <si>
    <t xml:space="preserve">        TEL:00-0000-0000</t>
    <phoneticPr fontId="3"/>
  </si>
  <si>
    <t>営業所A</t>
    <rPh sb="0" eb="3">
      <t>エイギョウショ</t>
    </rPh>
    <phoneticPr fontId="3"/>
  </si>
  <si>
    <t>営業所B</t>
    <rPh sb="0" eb="3">
      <t>エイギョウショ</t>
    </rPh>
    <phoneticPr fontId="3"/>
  </si>
  <si>
    <t>営業所C</t>
    <rPh sb="0" eb="3">
      <t>エイギョウショ</t>
    </rPh>
    <phoneticPr fontId="3"/>
  </si>
  <si>
    <t>営業所D</t>
    <rPh sb="0" eb="3">
      <t>エイギョウショ</t>
    </rPh>
    <phoneticPr fontId="3"/>
  </si>
  <si>
    <t>営業所E</t>
    <rPh sb="0" eb="3">
      <t>エイギョウショ</t>
    </rPh>
    <phoneticPr fontId="3"/>
  </si>
  <si>
    <t xml:space="preserve"> 株式会社　ZZZ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</si>
</sst>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m&quot;月&quot;d&quot;日&quot;;@"/>
    <numFmt numFmtId="177" formatCode="m&quot;月&quot;d&quot;日&quot;\(aaa\)"/>
  </numFmts>
  <fonts count="1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name val="ＭＳ Ｐゴシック"/>
      <family val="3"/>
      <charset val="128"/>
    </font>
    <font>
      <b/>
      <sz val="2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6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u/>
      <sz val="20"/>
      <name val="ＭＳ Ｐゴシック"/>
      <family val="3"/>
      <charset val="128"/>
    </font>
    <font>
      <u/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>
      <alignment vertical="center"/>
    </xf>
    <xf numFmtId="6" fontId="1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6" fontId="2" fillId="0" borderId="0" xfId="2" applyFont="1">
      <alignment vertical="center"/>
    </xf>
    <xf numFmtId="0" fontId="7" fillId="0" borderId="0" xfId="0" applyFont="1" applyAlignment="1">
      <alignment horizontal="center" vertical="center"/>
    </xf>
    <xf numFmtId="6" fontId="2" fillId="0" borderId="0" xfId="2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58" fontId="6" fillId="0" borderId="2" xfId="0" applyNumberFormat="1" applyFont="1" applyBorder="1" applyAlignment="1">
      <alignment horizontal="right"/>
    </xf>
    <xf numFmtId="176" fontId="6" fillId="0" borderId="2" xfId="0" applyNumberFormat="1" applyFont="1" applyBorder="1" applyAlignment="1">
      <alignment horizontal="left"/>
    </xf>
    <xf numFmtId="0" fontId="0" fillId="0" borderId="0" xfId="0" applyAlignment="1"/>
    <xf numFmtId="6" fontId="4" fillId="0" borderId="0" xfId="0" applyNumberFormat="1" applyFont="1">
      <alignment vertical="center"/>
    </xf>
    <xf numFmtId="0" fontId="0" fillId="0" borderId="0" xfId="0" applyAlignment="1">
      <alignment vertical="top"/>
    </xf>
    <xf numFmtId="0" fontId="4" fillId="0" borderId="0" xfId="0" applyFont="1" applyAlignment="1"/>
    <xf numFmtId="58" fontId="6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/>
    </xf>
    <xf numFmtId="38" fontId="6" fillId="0" borderId="3" xfId="1" applyFont="1" applyBorder="1" applyAlignment="1">
      <alignment horizontal="center" vertical="center"/>
    </xf>
    <xf numFmtId="0" fontId="12" fillId="0" borderId="0" xfId="0" applyFont="1">
      <alignment vertical="center"/>
    </xf>
    <xf numFmtId="38" fontId="6" fillId="0" borderId="5" xfId="1" applyFont="1" applyBorder="1">
      <alignment vertical="center"/>
    </xf>
    <xf numFmtId="56" fontId="12" fillId="0" borderId="6" xfId="0" applyNumberFormat="1" applyFont="1" applyBorder="1" applyAlignment="1">
      <alignment horizontal="center" vertical="center"/>
    </xf>
    <xf numFmtId="38" fontId="6" fillId="0" borderId="8" xfId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8" fontId="6" fillId="0" borderId="10" xfId="0" applyNumberFormat="1" applyFont="1" applyBorder="1">
      <alignment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6" fillId="0" borderId="15" xfId="1" applyFont="1" applyBorder="1">
      <alignment vertical="center"/>
    </xf>
    <xf numFmtId="38" fontId="6" fillId="0" borderId="16" xfId="1" applyFont="1" applyBorder="1" applyAlignment="1">
      <alignment horizontal="center" vertical="center"/>
    </xf>
    <xf numFmtId="0" fontId="0" fillId="0" borderId="17" xfId="0" applyBorder="1">
      <alignment vertical="center"/>
    </xf>
    <xf numFmtId="38" fontId="12" fillId="0" borderId="18" xfId="1" applyFont="1" applyBorder="1">
      <alignment vertical="center"/>
    </xf>
    <xf numFmtId="38" fontId="12" fillId="0" borderId="6" xfId="1" applyFont="1" applyBorder="1">
      <alignment vertical="center"/>
    </xf>
    <xf numFmtId="38" fontId="12" fillId="0" borderId="6" xfId="1" applyFont="1" applyBorder="1" applyAlignment="1">
      <alignment horizontal="right" vertical="center"/>
    </xf>
    <xf numFmtId="38" fontId="12" fillId="0" borderId="7" xfId="1" applyFont="1" applyBorder="1">
      <alignment vertical="center"/>
    </xf>
    <xf numFmtId="38" fontId="12" fillId="0" borderId="7" xfId="1" applyFont="1" applyBorder="1" applyAlignment="1">
      <alignment horizontal="right" vertical="center"/>
    </xf>
    <xf numFmtId="38" fontId="12" fillId="0" borderId="11" xfId="1" applyFont="1" applyBorder="1">
      <alignment vertical="center"/>
    </xf>
    <xf numFmtId="38" fontId="12" fillId="0" borderId="11" xfId="0" applyNumberFormat="1" applyFont="1" applyBorder="1">
      <alignment vertical="center"/>
    </xf>
    <xf numFmtId="38" fontId="12" fillId="0" borderId="19" xfId="1" applyFont="1" applyBorder="1">
      <alignment vertical="center"/>
    </xf>
    <xf numFmtId="38" fontId="12" fillId="0" borderId="18" xfId="0" applyNumberFormat="1" applyFont="1" applyBorder="1">
      <alignment vertical="center"/>
    </xf>
    <xf numFmtId="38" fontId="12" fillId="0" borderId="6" xfId="0" applyNumberFormat="1" applyFont="1" applyBorder="1">
      <alignment vertical="center"/>
    </xf>
    <xf numFmtId="38" fontId="12" fillId="0" borderId="20" xfId="1" applyFont="1" applyBorder="1">
      <alignment vertical="center"/>
    </xf>
    <xf numFmtId="38" fontId="12" fillId="0" borderId="20" xfId="1" applyFont="1" applyBorder="1" applyAlignment="1">
      <alignment horizontal="right" vertical="center"/>
    </xf>
    <xf numFmtId="38" fontId="12" fillId="0" borderId="7" xfId="0" applyNumberFormat="1" applyFont="1" applyBorder="1">
      <alignment vertical="center"/>
    </xf>
    <xf numFmtId="38" fontId="12" fillId="0" borderId="12" xfId="1" applyFont="1" applyBorder="1">
      <alignment vertical="center"/>
    </xf>
    <xf numFmtId="38" fontId="12" fillId="0" borderId="13" xfId="1" applyFont="1" applyBorder="1">
      <alignment vertical="center"/>
    </xf>
    <xf numFmtId="6" fontId="6" fillId="0" borderId="0" xfId="2" applyFont="1" applyAlignment="1">
      <alignment horizontal="right" vertical="center"/>
    </xf>
    <xf numFmtId="6" fontId="6" fillId="0" borderId="1" xfId="2" applyFont="1" applyBorder="1" applyAlignment="1">
      <alignment horizontal="right" vertical="center"/>
    </xf>
    <xf numFmtId="6" fontId="6" fillId="0" borderId="0" xfId="2" applyFont="1">
      <alignment vertical="center"/>
    </xf>
    <xf numFmtId="177" fontId="12" fillId="0" borderId="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0" fillId="0" borderId="14" xfId="0" applyBorder="1" applyAlignment="1"/>
    <xf numFmtId="6" fontId="4" fillId="0" borderId="1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/>
    <xf numFmtId="0" fontId="13" fillId="0" borderId="22" xfId="0" applyFont="1" applyBorder="1" applyAlignment="1">
      <alignment horizontal="center" vertical="center"/>
    </xf>
    <xf numFmtId="0" fontId="0" fillId="0" borderId="21" xfId="0" applyBorder="1" applyAlignment="1"/>
  </cellXfs>
  <cellStyles count="3">
    <cellStyle name="桁区切り" xfId="1" builtinId="6"/>
    <cellStyle name="通貨" xfId="2" builtinId="7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79"/>
  <sheetViews>
    <sheetView tabSelected="1" zoomScale="120" zoomScaleNormal="120" zoomScaleSheetLayoutView="120" workbookViewId="0">
      <selection activeCell="E4" sqref="E4:F4"/>
    </sheetView>
  </sheetViews>
  <sheetFormatPr defaultRowHeight="13.5" x14ac:dyDescent="0.15"/>
  <cols>
    <col min="1" max="1" width="16.625" style="13" customWidth="1"/>
    <col min="2" max="9" width="12.625" style="13" customWidth="1"/>
  </cols>
  <sheetData>
    <row r="1" spans="1:9" ht="15" customHeight="1" thickBot="1" x14ac:dyDescent="0.2">
      <c r="H1" s="62" t="s">
        <v>14</v>
      </c>
      <c r="I1" s="63"/>
    </row>
    <row r="2" spans="1:9" ht="24" customHeight="1" thickBot="1" x14ac:dyDescent="0.25">
      <c r="A2" s="8"/>
      <c r="B2" s="9"/>
      <c r="C2" s="18"/>
      <c r="D2" s="57" t="s">
        <v>0</v>
      </c>
      <c r="E2" s="58"/>
      <c r="F2" s="58"/>
      <c r="G2" s="17"/>
      <c r="H2" s="11" t="s">
        <v>12</v>
      </c>
      <c r="I2" s="12">
        <v>46287</v>
      </c>
    </row>
    <row r="3" spans="1:9" ht="24" customHeight="1" thickTop="1" x14ac:dyDescent="0.2">
      <c r="A3" s="60" t="s">
        <v>13</v>
      </c>
      <c r="B3" s="61"/>
      <c r="C3" s="61"/>
      <c r="D3" s="61"/>
      <c r="H3" s="16" t="s">
        <v>23</v>
      </c>
      <c r="I3" s="16"/>
    </row>
    <row r="4" spans="1:9" ht="24" customHeight="1" thickBot="1" x14ac:dyDescent="0.2">
      <c r="D4" s="32" t="s">
        <v>1</v>
      </c>
      <c r="E4" s="59">
        <f>C37</f>
        <v>1627185.24</v>
      </c>
      <c r="F4" s="58"/>
      <c r="H4" t="s">
        <v>15</v>
      </c>
    </row>
    <row r="5" spans="1:9" ht="14.1" customHeight="1" thickTop="1" x14ac:dyDescent="0.15">
      <c r="A5" s="5"/>
      <c r="B5" s="6"/>
      <c r="C5" s="10"/>
      <c r="D5" s="14"/>
      <c r="G5" s="15"/>
      <c r="H5" s="15" t="s">
        <v>16</v>
      </c>
      <c r="I5" s="15"/>
    </row>
    <row r="6" spans="1:9" ht="14.1" customHeight="1" x14ac:dyDescent="0.15">
      <c r="G6" s="15"/>
      <c r="H6" s="15" t="s">
        <v>17</v>
      </c>
      <c r="I6" s="15"/>
    </row>
    <row r="7" spans="1:9" ht="8.1" customHeight="1" thickBot="1" x14ac:dyDescent="0.2">
      <c r="A7" s="1"/>
      <c r="B7" s="1"/>
      <c r="C7" s="1"/>
    </row>
    <row r="8" spans="1:9" ht="19.5" customHeight="1" x14ac:dyDescent="0.15">
      <c r="A8" s="35"/>
      <c r="B8" s="19" t="s">
        <v>18</v>
      </c>
      <c r="C8" s="19" t="s">
        <v>19</v>
      </c>
      <c r="D8" s="19" t="s">
        <v>20</v>
      </c>
      <c r="E8" s="19" t="s">
        <v>21</v>
      </c>
      <c r="F8" s="19" t="s">
        <v>22</v>
      </c>
      <c r="G8" s="19"/>
      <c r="H8" s="19"/>
      <c r="I8" s="30" t="s">
        <v>2</v>
      </c>
    </row>
    <row r="9" spans="1:9" ht="17.100000000000001" customHeight="1" x14ac:dyDescent="0.15">
      <c r="A9" s="54">
        <v>46281</v>
      </c>
      <c r="B9" s="37">
        <v>59566</v>
      </c>
      <c r="C9" s="38">
        <v>37090</v>
      </c>
      <c r="D9" s="38">
        <v>40552</v>
      </c>
      <c r="E9" s="38">
        <v>39396</v>
      </c>
      <c r="F9" s="38">
        <v>81148</v>
      </c>
      <c r="G9" s="38"/>
      <c r="H9" s="38"/>
      <c r="I9" s="44">
        <f t="shared" ref="I9:I17" si="0">SUM(B9:H9)</f>
        <v>257752</v>
      </c>
    </row>
    <row r="10" spans="1:9" ht="17.100000000000001" customHeight="1" x14ac:dyDescent="0.15">
      <c r="A10" s="54">
        <v>46282</v>
      </c>
      <c r="B10" s="37">
        <v>63271</v>
      </c>
      <c r="C10" s="37">
        <v>28696</v>
      </c>
      <c r="D10" s="37">
        <v>44019</v>
      </c>
      <c r="E10" s="37">
        <v>40823</v>
      </c>
      <c r="F10" s="37">
        <v>78102</v>
      </c>
      <c r="G10" s="37"/>
      <c r="H10" s="37"/>
      <c r="I10" s="44">
        <f t="shared" si="0"/>
        <v>254911</v>
      </c>
    </row>
    <row r="11" spans="1:9" ht="17.100000000000001" customHeight="1" x14ac:dyDescent="0.15">
      <c r="A11" s="54">
        <v>46283</v>
      </c>
      <c r="B11" s="37">
        <v>53479</v>
      </c>
      <c r="C11" s="37">
        <v>33256</v>
      </c>
      <c r="D11" s="37">
        <v>36290</v>
      </c>
      <c r="E11" s="37">
        <v>37280</v>
      </c>
      <c r="F11" s="37">
        <v>77440</v>
      </c>
      <c r="G11" s="37"/>
      <c r="H11" s="37"/>
      <c r="I11" s="44">
        <f t="shared" si="0"/>
        <v>237745</v>
      </c>
    </row>
    <row r="12" spans="1:9" ht="17.100000000000001" customHeight="1" x14ac:dyDescent="0.15">
      <c r="A12" s="54">
        <v>46284</v>
      </c>
      <c r="B12" s="37">
        <v>51145</v>
      </c>
      <c r="C12" s="37">
        <v>28151</v>
      </c>
      <c r="D12" s="37">
        <v>42071</v>
      </c>
      <c r="E12" s="37">
        <v>32620</v>
      </c>
      <c r="F12" s="37">
        <v>73743</v>
      </c>
      <c r="G12" s="37"/>
      <c r="H12" s="37"/>
      <c r="I12" s="44">
        <f t="shared" si="0"/>
        <v>227730</v>
      </c>
    </row>
    <row r="13" spans="1:9" ht="17.100000000000001" customHeight="1" x14ac:dyDescent="0.15">
      <c r="A13" s="54">
        <v>46285</v>
      </c>
      <c r="B13" s="37">
        <v>57359</v>
      </c>
      <c r="C13" s="37">
        <v>33819</v>
      </c>
      <c r="D13" s="37">
        <v>39512</v>
      </c>
      <c r="E13" s="37">
        <v>52171</v>
      </c>
      <c r="F13" s="37">
        <v>73948</v>
      </c>
      <c r="G13" s="37"/>
      <c r="H13" s="37"/>
      <c r="I13" s="44">
        <f t="shared" si="0"/>
        <v>256809</v>
      </c>
    </row>
    <row r="14" spans="1:9" ht="17.100000000000001" customHeight="1" x14ac:dyDescent="0.15">
      <c r="A14" s="54">
        <v>46286</v>
      </c>
      <c r="B14" s="37">
        <v>58083</v>
      </c>
      <c r="C14" s="37">
        <v>38845</v>
      </c>
      <c r="D14" s="37">
        <v>41154</v>
      </c>
      <c r="E14" s="37">
        <v>43411</v>
      </c>
      <c r="F14" s="37">
        <v>90213</v>
      </c>
      <c r="G14" s="37"/>
      <c r="H14" s="37"/>
      <c r="I14" s="44">
        <f t="shared" si="0"/>
        <v>271706</v>
      </c>
    </row>
    <row r="15" spans="1:9" ht="17.100000000000001" customHeight="1" x14ac:dyDescent="0.15">
      <c r="A15" s="54">
        <v>46287</v>
      </c>
      <c r="B15" s="37"/>
      <c r="C15" s="38"/>
      <c r="D15" s="38"/>
      <c r="E15" s="38"/>
      <c r="F15" s="38"/>
      <c r="G15" s="38"/>
      <c r="H15" s="38"/>
      <c r="I15" s="44">
        <f t="shared" si="0"/>
        <v>0</v>
      </c>
    </row>
    <row r="16" spans="1:9" ht="17.100000000000001" customHeight="1" x14ac:dyDescent="0.15">
      <c r="A16" s="54"/>
      <c r="B16" s="37"/>
      <c r="C16" s="38"/>
      <c r="D16" s="38"/>
      <c r="E16" s="38"/>
      <c r="F16" s="38"/>
      <c r="G16" s="38"/>
      <c r="H16" s="38"/>
      <c r="I16" s="44">
        <f t="shared" si="0"/>
        <v>0</v>
      </c>
    </row>
    <row r="17" spans="1:9" ht="17.100000000000001" customHeight="1" x14ac:dyDescent="0.15">
      <c r="A17" s="54"/>
      <c r="B17" s="37"/>
      <c r="C17" s="37"/>
      <c r="D17" s="37"/>
      <c r="E17" s="37"/>
      <c r="F17" s="37"/>
      <c r="G17" s="37"/>
      <c r="H17" s="37"/>
      <c r="I17" s="44">
        <f t="shared" si="0"/>
        <v>0</v>
      </c>
    </row>
    <row r="18" spans="1:9" ht="17.100000000000001" customHeight="1" x14ac:dyDescent="0.15">
      <c r="A18" s="54"/>
      <c r="B18" s="39"/>
      <c r="C18" s="40"/>
      <c r="D18" s="40"/>
      <c r="E18" s="39"/>
      <c r="F18" s="40"/>
      <c r="G18" s="39"/>
      <c r="H18" s="40"/>
      <c r="I18" s="48"/>
    </row>
    <row r="19" spans="1:9" ht="18.75" customHeight="1" x14ac:dyDescent="0.15">
      <c r="A19" s="26" t="s">
        <v>3</v>
      </c>
      <c r="B19" s="41">
        <f t="shared" ref="B19:F19" si="1">SUM(B9:B18)</f>
        <v>342903</v>
      </c>
      <c r="C19" s="41">
        <f t="shared" si="1"/>
        <v>199857</v>
      </c>
      <c r="D19" s="41">
        <f t="shared" si="1"/>
        <v>243598</v>
      </c>
      <c r="E19" s="41">
        <f t="shared" si="1"/>
        <v>245701</v>
      </c>
      <c r="F19" s="41">
        <f t="shared" si="1"/>
        <v>474594</v>
      </c>
      <c r="G19" s="41"/>
      <c r="H19" s="41"/>
      <c r="I19" s="42">
        <f>SUM(B19:H19)</f>
        <v>1506653</v>
      </c>
    </row>
    <row r="20" spans="1:9" ht="18.75" customHeight="1" x14ac:dyDescent="0.15">
      <c r="A20" s="24"/>
      <c r="B20" s="21"/>
      <c r="C20" s="21"/>
      <c r="D20" s="21"/>
      <c r="E20" s="21"/>
      <c r="F20" s="21"/>
      <c r="G20" s="21"/>
      <c r="H20" s="33"/>
      <c r="I20" s="25"/>
    </row>
    <row r="21" spans="1:9" ht="17.25" customHeight="1" x14ac:dyDescent="0.15">
      <c r="A21" s="31" t="s">
        <v>4</v>
      </c>
      <c r="B21" s="23" t="str">
        <f>B8</f>
        <v>営業所A</v>
      </c>
      <c r="C21" s="23" t="str">
        <f t="shared" ref="C21:F21" si="2">C8</f>
        <v>営業所B</v>
      </c>
      <c r="D21" s="23" t="str">
        <f t="shared" si="2"/>
        <v>営業所C</v>
      </c>
      <c r="E21" s="23" t="str">
        <f t="shared" si="2"/>
        <v>営業所D</v>
      </c>
      <c r="F21" s="23" t="str">
        <f t="shared" si="2"/>
        <v>営業所E</v>
      </c>
      <c r="G21" s="34"/>
      <c r="H21" s="34"/>
      <c r="I21" s="29" t="s">
        <v>2</v>
      </c>
    </row>
    <row r="22" spans="1:9" ht="17.100000000000001" customHeight="1" x14ac:dyDescent="0.15">
      <c r="A22" s="54">
        <f>A9</f>
        <v>46281</v>
      </c>
      <c r="B22" s="43"/>
      <c r="C22" s="43"/>
      <c r="D22" s="43"/>
      <c r="E22" s="43"/>
      <c r="F22" s="43"/>
      <c r="G22" s="43"/>
      <c r="H22" s="36"/>
      <c r="I22" s="44">
        <f t="shared" ref="I22:I32" si="3">SUM(B22:H22)</f>
        <v>0</v>
      </c>
    </row>
    <row r="23" spans="1:9" ht="17.100000000000001" customHeight="1" x14ac:dyDescent="0.15">
      <c r="A23" s="54">
        <f t="shared" ref="A23:A28" si="4">A10</f>
        <v>46282</v>
      </c>
      <c r="B23" s="37"/>
      <c r="C23" s="37"/>
      <c r="D23" s="37"/>
      <c r="E23" s="37"/>
      <c r="F23" s="37"/>
      <c r="G23" s="37"/>
      <c r="H23" s="37"/>
      <c r="I23" s="45">
        <f t="shared" si="3"/>
        <v>0</v>
      </c>
    </row>
    <row r="24" spans="1:9" ht="17.100000000000001" customHeight="1" x14ac:dyDescent="0.15">
      <c r="A24" s="54">
        <f t="shared" si="4"/>
        <v>46283</v>
      </c>
      <c r="B24" s="37"/>
      <c r="C24" s="37"/>
      <c r="D24" s="37"/>
      <c r="E24" s="37"/>
      <c r="F24" s="37"/>
      <c r="G24" s="37"/>
      <c r="H24" s="37"/>
      <c r="I24" s="45">
        <f t="shared" si="3"/>
        <v>0</v>
      </c>
    </row>
    <row r="25" spans="1:9" ht="17.100000000000001" customHeight="1" x14ac:dyDescent="0.15">
      <c r="A25" s="54">
        <f t="shared" si="4"/>
        <v>46284</v>
      </c>
      <c r="B25" s="37"/>
      <c r="C25" s="37"/>
      <c r="D25" s="37"/>
      <c r="E25" s="37"/>
      <c r="F25" s="37"/>
      <c r="G25" s="37"/>
      <c r="H25" s="37"/>
      <c r="I25" s="45">
        <f t="shared" si="3"/>
        <v>0</v>
      </c>
    </row>
    <row r="26" spans="1:9" ht="17.100000000000001" customHeight="1" x14ac:dyDescent="0.15">
      <c r="A26" s="54">
        <f t="shared" si="4"/>
        <v>46285</v>
      </c>
      <c r="B26" s="37"/>
      <c r="C26" s="37"/>
      <c r="D26" s="37"/>
      <c r="E26" s="37"/>
      <c r="F26" s="37"/>
      <c r="G26" s="37"/>
      <c r="H26" s="37"/>
      <c r="I26" s="45">
        <f t="shared" si="3"/>
        <v>0</v>
      </c>
    </row>
    <row r="27" spans="1:9" ht="17.100000000000001" customHeight="1" x14ac:dyDescent="0.15">
      <c r="A27" s="54">
        <f t="shared" si="4"/>
        <v>46286</v>
      </c>
      <c r="B27" s="37"/>
      <c r="C27" s="37"/>
      <c r="D27" s="37"/>
      <c r="E27" s="37"/>
      <c r="F27" s="37"/>
      <c r="G27" s="37"/>
      <c r="H27" s="37"/>
      <c r="I27" s="45">
        <f t="shared" si="3"/>
        <v>0</v>
      </c>
    </row>
    <row r="28" spans="1:9" ht="17.100000000000001" customHeight="1" x14ac:dyDescent="0.15">
      <c r="A28" s="54">
        <f t="shared" si="4"/>
        <v>46287</v>
      </c>
      <c r="B28" s="37"/>
      <c r="C28" s="38"/>
      <c r="D28" s="38"/>
      <c r="E28" s="38"/>
      <c r="F28" s="38"/>
      <c r="G28" s="38"/>
      <c r="H28" s="38"/>
      <c r="I28" s="45">
        <f t="shared" si="3"/>
        <v>0</v>
      </c>
    </row>
    <row r="29" spans="1:9" ht="17.100000000000001" customHeight="1" x14ac:dyDescent="0.15">
      <c r="A29" s="54"/>
      <c r="B29" s="37"/>
      <c r="C29" s="37"/>
      <c r="D29" s="37"/>
      <c r="E29" s="37"/>
      <c r="F29" s="37"/>
      <c r="G29" s="37"/>
      <c r="H29" s="37"/>
      <c r="I29" s="45">
        <f t="shared" si="3"/>
        <v>0</v>
      </c>
    </row>
    <row r="30" spans="1:9" ht="17.100000000000001" customHeight="1" x14ac:dyDescent="0.15">
      <c r="A30" s="54"/>
      <c r="B30" s="37"/>
      <c r="C30" s="37"/>
      <c r="D30" s="37"/>
      <c r="E30" s="37"/>
      <c r="F30" s="37"/>
      <c r="G30" s="37"/>
      <c r="H30" s="37"/>
      <c r="I30" s="45">
        <f t="shared" si="3"/>
        <v>0</v>
      </c>
    </row>
    <row r="31" spans="1:9" ht="17.100000000000001" customHeight="1" x14ac:dyDescent="0.15">
      <c r="A31" s="22"/>
      <c r="B31" s="46"/>
      <c r="C31" s="47"/>
      <c r="D31" s="47"/>
      <c r="E31" s="46"/>
      <c r="F31" s="47"/>
      <c r="G31" s="46"/>
      <c r="H31" s="47"/>
      <c r="I31" s="48">
        <f t="shared" si="3"/>
        <v>0</v>
      </c>
    </row>
    <row r="32" spans="1:9" ht="18.75" customHeight="1" thickBot="1" x14ac:dyDescent="0.2">
      <c r="A32" s="27" t="s">
        <v>3</v>
      </c>
      <c r="B32" s="49">
        <f t="shared" ref="B32:F32" si="5">SUM(B22:B31)</f>
        <v>0</v>
      </c>
      <c r="C32" s="49">
        <f t="shared" si="5"/>
        <v>0</v>
      </c>
      <c r="D32" s="49">
        <f t="shared" si="5"/>
        <v>0</v>
      </c>
      <c r="E32" s="49">
        <f t="shared" si="5"/>
        <v>0</v>
      </c>
      <c r="F32" s="49">
        <f t="shared" si="5"/>
        <v>0</v>
      </c>
      <c r="G32" s="49"/>
      <c r="H32" s="49"/>
      <c r="I32" s="50">
        <f t="shared" si="3"/>
        <v>0</v>
      </c>
    </row>
    <row r="33" spans="1:9" ht="22.5" customHeight="1" thickBot="1" x14ac:dyDescent="0.2">
      <c r="A33" s="28" t="s">
        <v>5</v>
      </c>
      <c r="B33" s="50">
        <f t="shared" ref="B33:I33" si="6">B19-B32</f>
        <v>342903</v>
      </c>
      <c r="C33" s="50">
        <f t="shared" si="6"/>
        <v>199857</v>
      </c>
      <c r="D33" s="50">
        <f t="shared" si="6"/>
        <v>243598</v>
      </c>
      <c r="E33" s="50">
        <f t="shared" si="6"/>
        <v>245701</v>
      </c>
      <c r="F33" s="50">
        <f t="shared" si="6"/>
        <v>474594</v>
      </c>
      <c r="G33" s="50">
        <f t="shared" si="6"/>
        <v>0</v>
      </c>
      <c r="H33" s="50">
        <f t="shared" si="6"/>
        <v>0</v>
      </c>
      <c r="I33" s="50">
        <f t="shared" si="6"/>
        <v>1506653</v>
      </c>
    </row>
    <row r="34" spans="1:9" ht="18.75" customHeight="1" x14ac:dyDescent="0.15">
      <c r="G34" t="s">
        <v>6</v>
      </c>
    </row>
    <row r="35" spans="1:9" ht="21.95" customHeight="1" x14ac:dyDescent="0.15">
      <c r="A35" s="2"/>
      <c r="B35" s="56" t="s">
        <v>7</v>
      </c>
      <c r="C35" s="51">
        <f>SUM(I33)</f>
        <v>1506653</v>
      </c>
    </row>
    <row r="36" spans="1:9" ht="18" customHeight="1" thickBot="1" x14ac:dyDescent="0.2">
      <c r="A36" s="2"/>
      <c r="B36" s="7" t="s">
        <v>8</v>
      </c>
      <c r="C36" s="52">
        <f>SUM(C35*0.08)</f>
        <v>120532.24</v>
      </c>
      <c r="G36" s="20" t="s">
        <v>9</v>
      </c>
    </row>
    <row r="37" spans="1:9" ht="17.25" customHeight="1" x14ac:dyDescent="0.15">
      <c r="B37" s="55" t="s">
        <v>10</v>
      </c>
      <c r="C37" s="53">
        <f>SUM(C35:C36)</f>
        <v>1627185.24</v>
      </c>
      <c r="G37" s="20" t="s">
        <v>11</v>
      </c>
    </row>
    <row r="38" spans="1:9" ht="18.75" customHeight="1" x14ac:dyDescent="0.15">
      <c r="B38" s="4"/>
      <c r="E38" s="3"/>
    </row>
    <row r="39" spans="1:9" ht="21" customHeight="1" x14ac:dyDescent="0.15">
      <c r="A39" s="3"/>
    </row>
    <row r="40" spans="1:9" ht="17.25" customHeight="1" x14ac:dyDescent="0.15">
      <c r="A40" s="3"/>
    </row>
    <row r="41" spans="1:9" ht="18" customHeight="1" x14ac:dyDescent="0.15">
      <c r="A41" s="3"/>
    </row>
    <row r="42" spans="1:9" ht="15" customHeight="1" x14ac:dyDescent="0.15"/>
    <row r="43" spans="1:9" ht="15" customHeight="1" x14ac:dyDescent="0.15"/>
    <row r="44" spans="1:9" ht="15" customHeight="1" x14ac:dyDescent="0.15"/>
    <row r="45" spans="1:9" ht="15" customHeight="1" x14ac:dyDescent="0.15"/>
    <row r="46" spans="1:9" ht="15.75" customHeight="1" x14ac:dyDescent="0.15"/>
    <row r="47" spans="1:9" ht="15" customHeight="1" x14ac:dyDescent="0.15"/>
    <row r="48" spans="1:9" ht="15" customHeight="1" x14ac:dyDescent="0.15"/>
    <row r="49" ht="15" customHeight="1" x14ac:dyDescent="0.15"/>
    <row r="50" ht="15" customHeight="1" x14ac:dyDescent="0.15"/>
    <row r="51" ht="15.7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.7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.7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.7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.7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</sheetData>
  <mergeCells count="4">
    <mergeCell ref="D2:F2"/>
    <mergeCell ref="E4:F4"/>
    <mergeCell ref="A3:D3"/>
    <mergeCell ref="H1:I1"/>
  </mergeCells>
  <phoneticPr fontId="3"/>
  <pageMargins left="1.5748031496062991" right="0" top="0.21" bottom="0" header="0.22" footer="0.2"/>
  <pageSetup paperSize="9" scale="89" orientation="landscape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R8.9月16~9月22</vt:lpstr>
      <vt:lpstr>'R8.9月16~9月22'!Print_Area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松屋</dc:creator>
  <cp:lastModifiedBy>Jun Kubota</cp:lastModifiedBy>
  <cp:lastPrinted>2026-07-10T01:54:26Z</cp:lastPrinted>
  <dcterms:created xsi:type="dcterms:W3CDTF">2007-06-20T02:28:46Z</dcterms:created>
  <dcterms:modified xsi:type="dcterms:W3CDTF">2026-09-26T08:24:01Z</dcterms:modified>
</cp:coreProperties>
</file>