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kbla\PycharmProjects\PdfOrderImporter\templates\"/>
    </mc:Choice>
  </mc:AlternateContent>
  <xr:revisionPtr revIDLastSave="0" documentId="13_ncr:1_{BCAEFB96-9D65-4CAD-BF2D-CE6E631F4D5E}" xr6:coauthVersionLast="47" xr6:coauthVersionMax="47" xr10:uidLastSave="{00000000-0000-0000-0000-000000000000}"/>
  <bookViews>
    <workbookView xWindow="-120" yWindow="-16320" windowWidth="29040" windowHeight="15720" tabRatio="839" xr2:uid="{00000000-000D-0000-FFFF-FFFF00000000}"/>
  </bookViews>
  <sheets>
    <sheet name="商品マスタ" sheetId="38" r:id="rId1"/>
    <sheet name="販売表" sheetId="4" r:id="rId2"/>
    <sheet name="箱数計算書" sheetId="21" r:id="rId3"/>
    <sheet name="天板換算表" sheetId="37" r:id="rId4"/>
    <sheet name="換算１" sheetId="16" r:id="rId5"/>
    <sheet name="箱入り数表" sheetId="31" r:id="rId6"/>
    <sheet name="計算" sheetId="33" r:id="rId7"/>
  </sheets>
  <definedNames>
    <definedName name="_xlnm.Print_Area" localSheetId="4">換算１!$A$1:$J$58</definedName>
    <definedName name="_xlnm.Print_Area" localSheetId="3">天板換算表!$A$1:$I$58</definedName>
    <definedName name="_xlnm.Print_Area" localSheetId="2">箱数計算書!$A$1:$F$60</definedName>
    <definedName name="_xlnm.Print_Area" localSheetId="5">箱入り数表!$A$1:$D$29</definedName>
    <definedName name="_xlnm.Print_Area" localSheetId="1">販売表!$A$1:$F$59</definedName>
    <definedName name="_xlnm.Print_Titles" localSheetId="3">天板換算表!$1:$2</definedName>
    <definedName name="_xlnm.Print_Titles" localSheetId="2">箱数計算書!$1:$3</definedName>
    <definedName name="_xlnm.Print_Titles" localSheetId="1">販売表!$1:$3</definedName>
    <definedName name="南" localSheetId="3">天板換算表!$D$3:$D$46</definedName>
    <definedName name="南">販売表!$C$5:$C$44</definedName>
  </definedNames>
  <calcPr calcId="191029"/>
</workbook>
</file>

<file path=xl/calcChain.xml><?xml version="1.0" encoding="utf-8"?>
<calcChain xmlns="http://schemas.openxmlformats.org/spreadsheetml/2006/main">
  <c r="C59" i="21" l="1"/>
  <c r="D59" i="21"/>
  <c r="E59" i="21"/>
  <c r="F59" i="21"/>
  <c r="B59" i="21"/>
  <c r="C3" i="21"/>
  <c r="D3" i="21"/>
  <c r="E3" i="21"/>
  <c r="F3" i="21"/>
  <c r="B3" i="21"/>
  <c r="D59" i="4"/>
  <c r="E59" i="4"/>
  <c r="F59" i="4"/>
  <c r="G59" i="4"/>
  <c r="C59" i="4"/>
  <c r="B50" i="4"/>
  <c r="B51" i="4"/>
  <c r="B52" i="4"/>
  <c r="B53" i="4"/>
  <c r="B54" i="4"/>
  <c r="B55" i="4"/>
  <c r="B56" i="4"/>
  <c r="B57" i="4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4" i="31"/>
  <c r="C3" i="31"/>
  <c r="L56" i="16"/>
  <c r="F56" i="21" s="1"/>
  <c r="K56" i="16"/>
  <c r="H56" i="16"/>
  <c r="D56" i="21" s="1"/>
  <c r="F56" i="16"/>
  <c r="C56" i="21" s="1"/>
  <c r="E56" i="16"/>
  <c r="D56" i="16"/>
  <c r="B56" i="21" s="1"/>
  <c r="C56" i="16"/>
  <c r="A56" i="16"/>
  <c r="J56" i="16" s="1"/>
  <c r="E56" i="21" s="1"/>
  <c r="A5" i="33"/>
  <c r="A6" i="33"/>
  <c r="I6" i="33" s="1"/>
  <c r="J6" i="33" s="1"/>
  <c r="A7" i="33"/>
  <c r="Q7" i="33" s="1"/>
  <c r="A8" i="33"/>
  <c r="A9" i="33"/>
  <c r="Q9" i="33" s="1"/>
  <c r="A10" i="33"/>
  <c r="A11" i="33"/>
  <c r="A12" i="33"/>
  <c r="C12" i="33" s="1"/>
  <c r="D12" i="33" s="1"/>
  <c r="A13" i="33"/>
  <c r="Q13" i="33" s="1"/>
  <c r="A14" i="33"/>
  <c r="Q14" i="33" s="1"/>
  <c r="A15" i="33"/>
  <c r="M15" i="33" s="1"/>
  <c r="A16" i="33"/>
  <c r="A17" i="33"/>
  <c r="A18" i="33"/>
  <c r="A19" i="33"/>
  <c r="A20" i="33"/>
  <c r="D20" i="33" s="1"/>
  <c r="A21" i="33"/>
  <c r="Q21" i="33" s="1"/>
  <c r="A22" i="33"/>
  <c r="K22" i="33" s="1"/>
  <c r="L22" i="33" s="1"/>
  <c r="A23" i="33"/>
  <c r="A24" i="33"/>
  <c r="A25" i="33"/>
  <c r="Q25" i="33" s="1"/>
  <c r="A26" i="33"/>
  <c r="Q26" i="33" s="1"/>
  <c r="A27" i="33"/>
  <c r="N27" i="33" s="1"/>
  <c r="A28" i="33"/>
  <c r="A29" i="33"/>
  <c r="A30" i="33"/>
  <c r="A31" i="33"/>
  <c r="A32" i="33"/>
  <c r="A33" i="33"/>
  <c r="M33" i="33" s="1"/>
  <c r="A34" i="33"/>
  <c r="I34" i="33" s="1"/>
  <c r="J34" i="33" s="1"/>
  <c r="A35" i="33"/>
  <c r="A36" i="33"/>
  <c r="G36" i="33" s="1"/>
  <c r="H36" i="33" s="1"/>
  <c r="A37" i="33"/>
  <c r="Q37" i="33" s="1"/>
  <c r="A38" i="33"/>
  <c r="E38" i="33" s="1"/>
  <c r="F38" i="33" s="1"/>
  <c r="A39" i="33"/>
  <c r="P39" i="33" s="1"/>
  <c r="A40" i="33"/>
  <c r="A41" i="33"/>
  <c r="A42" i="33"/>
  <c r="A43" i="33"/>
  <c r="A44" i="33"/>
  <c r="A45" i="33"/>
  <c r="Q45" i="33" s="1"/>
  <c r="A46" i="33"/>
  <c r="I46" i="33" s="1"/>
  <c r="J46" i="33" s="1"/>
  <c r="A47" i="33"/>
  <c r="A48" i="33"/>
  <c r="C48" i="33" s="1"/>
  <c r="D48" i="33" s="1"/>
  <c r="A49" i="33"/>
  <c r="G49" i="33" s="1"/>
  <c r="A50" i="33"/>
  <c r="K50" i="33" s="1"/>
  <c r="A51" i="33"/>
  <c r="F51" i="33" s="1"/>
  <c r="A52" i="33"/>
  <c r="M52" i="33" s="1"/>
  <c r="A53" i="33"/>
  <c r="N53" i="33" s="1"/>
  <c r="A54" i="33"/>
  <c r="N54" i="33" s="1"/>
  <c r="A55" i="33"/>
  <c r="P55" i="33" s="1"/>
  <c r="A56" i="33"/>
  <c r="P56" i="33" s="1"/>
  <c r="A57" i="33"/>
  <c r="E57" i="33" s="1"/>
  <c r="A4" i="33"/>
  <c r="K53" i="16"/>
  <c r="K54" i="16"/>
  <c r="I53" i="16"/>
  <c r="E51" i="16"/>
  <c r="E57" i="16"/>
  <c r="C55" i="16"/>
  <c r="C57" i="16"/>
  <c r="H57" i="16"/>
  <c r="D57" i="21" s="1"/>
  <c r="H55" i="16"/>
  <c r="D55" i="16"/>
  <c r="B55" i="21" s="1"/>
  <c r="D57" i="16"/>
  <c r="B57" i="21" s="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" i="31"/>
  <c r="A5" i="16"/>
  <c r="A6" i="16"/>
  <c r="A7" i="16"/>
  <c r="A8" i="16"/>
  <c r="E8" i="16" s="1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E38" i="16" s="1"/>
  <c r="A39" i="16"/>
  <c r="E39" i="16" s="1"/>
  <c r="A40" i="16"/>
  <c r="A41" i="16"/>
  <c r="A42" i="16"/>
  <c r="A43" i="16"/>
  <c r="A44" i="16"/>
  <c r="E44" i="16" s="1"/>
  <c r="A45" i="16"/>
  <c r="A46" i="16"/>
  <c r="A47" i="16"/>
  <c r="A48" i="16"/>
  <c r="A49" i="16"/>
  <c r="A50" i="16"/>
  <c r="L50" i="16" s="1"/>
  <c r="A51" i="16"/>
  <c r="D51" i="16" s="1"/>
  <c r="B51" i="21" s="1"/>
  <c r="A52" i="16"/>
  <c r="E52" i="16" s="1"/>
  <c r="A53" i="16"/>
  <c r="G53" i="16" s="1"/>
  <c r="A54" i="16"/>
  <c r="H54" i="16" s="1"/>
  <c r="A55" i="16"/>
  <c r="J55" i="16" s="1"/>
  <c r="A57" i="16"/>
  <c r="L57" i="16" s="1"/>
  <c r="F57" i="21" s="1"/>
  <c r="A4" i="16"/>
  <c r="A4" i="37"/>
  <c r="A5" i="37"/>
  <c r="A6" i="37"/>
  <c r="E6" i="37" s="1"/>
  <c r="A7" i="37"/>
  <c r="E7" i="37" s="1"/>
  <c r="A8" i="37"/>
  <c r="A9" i="37"/>
  <c r="A10" i="37"/>
  <c r="A11" i="37"/>
  <c r="A12" i="37"/>
  <c r="A13" i="37"/>
  <c r="A14" i="37"/>
  <c r="E14" i="37" s="1"/>
  <c r="A15" i="37"/>
  <c r="A16" i="37"/>
  <c r="A17" i="37"/>
  <c r="A18" i="37"/>
  <c r="E18" i="37" s="1"/>
  <c r="A19" i="37"/>
  <c r="E19" i="37" s="1"/>
  <c r="A20" i="37"/>
  <c r="E20" i="37" s="1"/>
  <c r="A21" i="37"/>
  <c r="A22" i="37"/>
  <c r="A23" i="37"/>
  <c r="A24" i="37"/>
  <c r="E24" i="37" s="1"/>
  <c r="A25" i="37"/>
  <c r="E25" i="37" s="1"/>
  <c r="A26" i="37"/>
  <c r="E26" i="37" s="1"/>
  <c r="A27" i="37"/>
  <c r="A28" i="37"/>
  <c r="A29" i="37"/>
  <c r="A30" i="37"/>
  <c r="A31" i="37"/>
  <c r="A32" i="37"/>
  <c r="E32" i="37" s="1"/>
  <c r="A33" i="37"/>
  <c r="A34" i="37"/>
  <c r="A35" i="37"/>
  <c r="A36" i="37"/>
  <c r="E36" i="37" s="1"/>
  <c r="A37" i="37"/>
  <c r="E37" i="37" s="1"/>
  <c r="A38" i="37"/>
  <c r="E38" i="37" s="1"/>
  <c r="A39" i="37"/>
  <c r="A40" i="37"/>
  <c r="A41" i="37"/>
  <c r="A42" i="37"/>
  <c r="E42" i="37" s="1"/>
  <c r="A43" i="37"/>
  <c r="E43" i="37" s="1"/>
  <c r="A44" i="37"/>
  <c r="E44" i="37" s="1"/>
  <c r="A45" i="37"/>
  <c r="A46" i="37"/>
  <c r="A47" i="37"/>
  <c r="A48" i="37"/>
  <c r="A49" i="37"/>
  <c r="E49" i="37" s="1"/>
  <c r="A50" i="37"/>
  <c r="E50" i="37" s="1"/>
  <c r="A51" i="37"/>
  <c r="E51" i="37" s="1"/>
  <c r="A52" i="37"/>
  <c r="E52" i="37" s="1"/>
  <c r="A53" i="37"/>
  <c r="E53" i="37" s="1"/>
  <c r="A54" i="37"/>
  <c r="B54" i="37" s="1"/>
  <c r="A55" i="37"/>
  <c r="E55" i="37" s="1"/>
  <c r="A56" i="37"/>
  <c r="E56" i="37" s="1"/>
  <c r="A3" i="37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4" i="4"/>
  <c r="G58" i="4"/>
  <c r="F54" i="33" l="1"/>
  <c r="F52" i="33"/>
  <c r="J56" i="33"/>
  <c r="D54" i="33"/>
  <c r="Q56" i="33"/>
  <c r="H56" i="33"/>
  <c r="J53" i="33"/>
  <c r="M56" i="33"/>
  <c r="Q54" i="33"/>
  <c r="D56" i="33"/>
  <c r="H53" i="33"/>
  <c r="P53" i="33"/>
  <c r="Q15" i="33"/>
  <c r="L54" i="33"/>
  <c r="D53" i="33"/>
  <c r="J54" i="33"/>
  <c r="L52" i="33"/>
  <c r="Q55" i="33"/>
  <c r="Q27" i="33"/>
  <c r="L57" i="33"/>
  <c r="G57" i="33"/>
  <c r="I56" i="33"/>
  <c r="C56" i="33"/>
  <c r="G55" i="33"/>
  <c r="K54" i="33"/>
  <c r="E54" i="33"/>
  <c r="I53" i="33"/>
  <c r="C53" i="33"/>
  <c r="G52" i="33"/>
  <c r="K51" i="33"/>
  <c r="E51" i="33"/>
  <c r="M57" i="33"/>
  <c r="M51" i="33"/>
  <c r="N52" i="33"/>
  <c r="P54" i="33"/>
  <c r="I57" i="33"/>
  <c r="D51" i="33"/>
  <c r="Q53" i="33"/>
  <c r="F57" i="33"/>
  <c r="K57" i="33"/>
  <c r="G56" i="33"/>
  <c r="K55" i="33"/>
  <c r="E55" i="33"/>
  <c r="I54" i="33"/>
  <c r="C54" i="33"/>
  <c r="G53" i="33"/>
  <c r="K52" i="33"/>
  <c r="E52" i="33"/>
  <c r="I51" i="33"/>
  <c r="C51" i="33"/>
  <c r="M55" i="33"/>
  <c r="N56" i="33"/>
  <c r="N45" i="33"/>
  <c r="P52" i="33"/>
  <c r="H57" i="33"/>
  <c r="L55" i="33"/>
  <c r="J51" i="33"/>
  <c r="Q52" i="33"/>
  <c r="D57" i="33"/>
  <c r="L56" i="33"/>
  <c r="F56" i="33"/>
  <c r="J55" i="33"/>
  <c r="D55" i="33"/>
  <c r="H54" i="33"/>
  <c r="L53" i="33"/>
  <c r="F53" i="33"/>
  <c r="J52" i="33"/>
  <c r="D52" i="33"/>
  <c r="H51" i="33"/>
  <c r="K49" i="33"/>
  <c r="L49" i="33" s="1"/>
  <c r="M54" i="33"/>
  <c r="N55" i="33"/>
  <c r="P57" i="33"/>
  <c r="P51" i="33"/>
  <c r="F55" i="33"/>
  <c r="H25" i="33"/>
  <c r="N57" i="33"/>
  <c r="N51" i="33"/>
  <c r="Q57" i="33"/>
  <c r="Q51" i="33"/>
  <c r="C57" i="33"/>
  <c r="K56" i="33"/>
  <c r="E56" i="33"/>
  <c r="I55" i="33"/>
  <c r="C55" i="33"/>
  <c r="G54" i="33"/>
  <c r="K53" i="33"/>
  <c r="E53" i="33"/>
  <c r="I52" i="33"/>
  <c r="C52" i="33"/>
  <c r="G51" i="33"/>
  <c r="F9" i="33"/>
  <c r="M53" i="33"/>
  <c r="Q39" i="33"/>
  <c r="J57" i="33"/>
  <c r="H55" i="33"/>
  <c r="H52" i="33"/>
  <c r="L51" i="33"/>
  <c r="B53" i="37"/>
  <c r="E54" i="37"/>
  <c r="B52" i="37"/>
  <c r="B51" i="37"/>
  <c r="B56" i="37"/>
  <c r="B50" i="37"/>
  <c r="B55" i="37"/>
  <c r="J44" i="33"/>
  <c r="D44" i="33"/>
  <c r="P44" i="33"/>
  <c r="E44" i="33"/>
  <c r="F44" i="33" s="1"/>
  <c r="G44" i="33"/>
  <c r="H44" i="33" s="1"/>
  <c r="M44" i="33"/>
  <c r="I44" i="33"/>
  <c r="K44" i="33"/>
  <c r="L44" i="33" s="1"/>
  <c r="N44" i="33"/>
  <c r="D32" i="33"/>
  <c r="E32" i="33"/>
  <c r="F32" i="33" s="1"/>
  <c r="G32" i="33"/>
  <c r="H32" i="33" s="1"/>
  <c r="N32" i="33"/>
  <c r="P32" i="33"/>
  <c r="C32" i="33"/>
  <c r="I32" i="33"/>
  <c r="M32" i="33"/>
  <c r="J32" i="33"/>
  <c r="I8" i="33"/>
  <c r="J8" i="33"/>
  <c r="C8" i="33"/>
  <c r="K8" i="33"/>
  <c r="L8" i="33" s="1"/>
  <c r="D8" i="33"/>
  <c r="P8" i="33"/>
  <c r="M8" i="33"/>
  <c r="E8" i="33"/>
  <c r="F8" i="33" s="1"/>
  <c r="G8" i="33"/>
  <c r="H8" i="33" s="1"/>
  <c r="N8" i="33"/>
  <c r="B37" i="37"/>
  <c r="B13" i="37"/>
  <c r="E31" i="37"/>
  <c r="K43" i="33"/>
  <c r="L43" i="33" s="1"/>
  <c r="P43" i="33"/>
  <c r="N43" i="33"/>
  <c r="M43" i="33"/>
  <c r="E43" i="33"/>
  <c r="F43" i="33" s="1"/>
  <c r="C43" i="33"/>
  <c r="D43" i="33" s="1"/>
  <c r="G43" i="33"/>
  <c r="H43" i="33"/>
  <c r="I43" i="33"/>
  <c r="J43" i="33" s="1"/>
  <c r="C31" i="33"/>
  <c r="D31" i="33" s="1"/>
  <c r="E31" i="33"/>
  <c r="F31" i="33" s="1"/>
  <c r="G31" i="33"/>
  <c r="P31" i="33"/>
  <c r="N31" i="33"/>
  <c r="M31" i="33"/>
  <c r="H31" i="33"/>
  <c r="I31" i="33"/>
  <c r="J31" i="33" s="1"/>
  <c r="K31" i="33"/>
  <c r="L31" i="33" s="1"/>
  <c r="G19" i="33"/>
  <c r="H19" i="33"/>
  <c r="I19" i="33"/>
  <c r="J19" i="33" s="1"/>
  <c r="P19" i="33"/>
  <c r="N19" i="33"/>
  <c r="M19" i="33"/>
  <c r="K19" i="33"/>
  <c r="L19" i="33" s="1"/>
  <c r="C19" i="33"/>
  <c r="D19" i="33" s="1"/>
  <c r="E19" i="33"/>
  <c r="F19" i="33" s="1"/>
  <c r="Q50" i="33"/>
  <c r="B48" i="37"/>
  <c r="B36" i="37"/>
  <c r="B24" i="37"/>
  <c r="B12" i="37"/>
  <c r="E48" i="37"/>
  <c r="E30" i="37"/>
  <c r="E12" i="37"/>
  <c r="I49" i="33"/>
  <c r="J49" i="33" s="1"/>
  <c r="F45" i="33"/>
  <c r="B47" i="37"/>
  <c r="B41" i="37"/>
  <c r="E35" i="37"/>
  <c r="B35" i="37"/>
  <c r="B29" i="37"/>
  <c r="B23" i="37"/>
  <c r="E17" i="37"/>
  <c r="B17" i="37"/>
  <c r="B11" i="37"/>
  <c r="F48" i="33"/>
  <c r="P48" i="33"/>
  <c r="N48" i="33"/>
  <c r="M48" i="33"/>
  <c r="I48" i="33"/>
  <c r="J48" i="33" s="1"/>
  <c r="K48" i="33"/>
  <c r="L48" i="33"/>
  <c r="Q48" i="33"/>
  <c r="C42" i="33"/>
  <c r="D42" i="33" s="1"/>
  <c r="L42" i="33"/>
  <c r="P42" i="33"/>
  <c r="N42" i="33"/>
  <c r="M42" i="33"/>
  <c r="F42" i="33"/>
  <c r="K42" i="33"/>
  <c r="E42" i="33"/>
  <c r="G42" i="33"/>
  <c r="H42" i="33" s="1"/>
  <c r="Q42" i="33"/>
  <c r="I36" i="33"/>
  <c r="J36" i="33" s="1"/>
  <c r="P36" i="33"/>
  <c r="N36" i="33"/>
  <c r="M36" i="33"/>
  <c r="K36" i="33"/>
  <c r="C36" i="33"/>
  <c r="D36" i="33" s="1"/>
  <c r="L36" i="33"/>
  <c r="E36" i="33"/>
  <c r="F36" i="33"/>
  <c r="Q36" i="33"/>
  <c r="E30" i="33"/>
  <c r="F30" i="33"/>
  <c r="P30" i="33"/>
  <c r="N30" i="33"/>
  <c r="M30" i="33"/>
  <c r="G30" i="33"/>
  <c r="H30" i="33" s="1"/>
  <c r="I30" i="33"/>
  <c r="J30" i="33" s="1"/>
  <c r="C30" i="33"/>
  <c r="D30" i="33" s="1"/>
  <c r="K30" i="33"/>
  <c r="Q30" i="33"/>
  <c r="K24" i="33"/>
  <c r="C24" i="33"/>
  <c r="D24" i="33" s="1"/>
  <c r="L24" i="33"/>
  <c r="P24" i="33"/>
  <c r="N24" i="33"/>
  <c r="M24" i="33"/>
  <c r="E24" i="33"/>
  <c r="F24" i="33"/>
  <c r="G24" i="33"/>
  <c r="H24" i="33" s="1"/>
  <c r="I24" i="33"/>
  <c r="J24" i="33" s="1"/>
  <c r="Q24" i="33"/>
  <c r="G18" i="33"/>
  <c r="H18" i="33" s="1"/>
  <c r="I18" i="33"/>
  <c r="J18" i="33" s="1"/>
  <c r="P18" i="33"/>
  <c r="N18" i="33"/>
  <c r="M18" i="33"/>
  <c r="K18" i="33"/>
  <c r="C18" i="33"/>
  <c r="D18" i="33" s="1"/>
  <c r="L18" i="33"/>
  <c r="E18" i="33"/>
  <c r="F18" i="33"/>
  <c r="Q18" i="33"/>
  <c r="E12" i="33"/>
  <c r="F12" i="33"/>
  <c r="P12" i="33"/>
  <c r="N12" i="33"/>
  <c r="M12" i="33"/>
  <c r="G12" i="33"/>
  <c r="H12" i="33" s="1"/>
  <c r="I12" i="33"/>
  <c r="J12" i="33" s="1"/>
  <c r="K12" i="33"/>
  <c r="L12" i="33"/>
  <c r="Q12" i="33"/>
  <c r="K6" i="33"/>
  <c r="C6" i="33"/>
  <c r="D6" i="33" s="1"/>
  <c r="L6" i="33"/>
  <c r="P6" i="33"/>
  <c r="N6" i="33"/>
  <c r="M6" i="33"/>
  <c r="E6" i="33"/>
  <c r="F6" i="33"/>
  <c r="G6" i="33"/>
  <c r="H6" i="33" s="1"/>
  <c r="Q6" i="33"/>
  <c r="Q49" i="33"/>
  <c r="B44" i="37"/>
  <c r="B32" i="37"/>
  <c r="B20" i="37"/>
  <c r="B7" i="37"/>
  <c r="E47" i="37"/>
  <c r="E29" i="37"/>
  <c r="E11" i="37"/>
  <c r="C44" i="33"/>
  <c r="N9" i="33"/>
  <c r="E50" i="16"/>
  <c r="G38" i="33"/>
  <c r="H38" i="33" s="1"/>
  <c r="I38" i="33"/>
  <c r="J38" i="33"/>
  <c r="M38" i="33"/>
  <c r="K38" i="33"/>
  <c r="L38" i="33" s="1"/>
  <c r="N38" i="33"/>
  <c r="C38" i="33"/>
  <c r="P38" i="33"/>
  <c r="D38" i="33"/>
  <c r="I26" i="33"/>
  <c r="J26" i="33"/>
  <c r="C26" i="33"/>
  <c r="K26" i="33"/>
  <c r="L26" i="33" s="1"/>
  <c r="D26" i="33"/>
  <c r="P26" i="33"/>
  <c r="E26" i="33"/>
  <c r="F26" i="33" s="1"/>
  <c r="G26" i="33"/>
  <c r="H26" i="33" s="1"/>
  <c r="M26" i="33"/>
  <c r="N26" i="33"/>
  <c r="E20" i="33"/>
  <c r="F20" i="33" s="1"/>
  <c r="G20" i="33"/>
  <c r="H20" i="33" s="1"/>
  <c r="I20" i="33"/>
  <c r="J20" i="33"/>
  <c r="M20" i="33"/>
  <c r="K20" i="33"/>
  <c r="L20" i="33" s="1"/>
  <c r="N20" i="33"/>
  <c r="P20" i="33"/>
  <c r="C20" i="33"/>
  <c r="B49" i="37"/>
  <c r="B25" i="37"/>
  <c r="E13" i="37"/>
  <c r="E49" i="33"/>
  <c r="F49" i="33" s="1"/>
  <c r="P49" i="33"/>
  <c r="N49" i="33"/>
  <c r="M49" i="33"/>
  <c r="H49" i="33"/>
  <c r="C49" i="33"/>
  <c r="D49" i="33" s="1"/>
  <c r="H37" i="33"/>
  <c r="I37" i="33"/>
  <c r="J37" i="33" s="1"/>
  <c r="P37" i="33"/>
  <c r="N37" i="33"/>
  <c r="M37" i="33"/>
  <c r="K37" i="33"/>
  <c r="L37" i="33" s="1"/>
  <c r="C37" i="33"/>
  <c r="D37" i="33" s="1"/>
  <c r="E37" i="33"/>
  <c r="F37" i="33" s="1"/>
  <c r="G37" i="33"/>
  <c r="I25" i="33"/>
  <c r="J25" i="33" s="1"/>
  <c r="K25" i="33"/>
  <c r="L25" i="33" s="1"/>
  <c r="C25" i="33"/>
  <c r="D25" i="33" s="1"/>
  <c r="P25" i="33"/>
  <c r="N25" i="33"/>
  <c r="M25" i="33"/>
  <c r="E25" i="33"/>
  <c r="F25" i="33" s="1"/>
  <c r="G25" i="33"/>
  <c r="C13" i="33"/>
  <c r="D13" i="33" s="1"/>
  <c r="E13" i="33"/>
  <c r="F13" i="33" s="1"/>
  <c r="G13" i="33"/>
  <c r="P13" i="33"/>
  <c r="N13" i="33"/>
  <c r="M13" i="33"/>
  <c r="H13" i="33"/>
  <c r="I13" i="33"/>
  <c r="J13" i="33" s="1"/>
  <c r="K13" i="33"/>
  <c r="L13" i="33" s="1"/>
  <c r="Q38" i="33"/>
  <c r="E46" i="37"/>
  <c r="B46" i="37"/>
  <c r="E40" i="37"/>
  <c r="B40" i="37"/>
  <c r="E34" i="37"/>
  <c r="B34" i="37"/>
  <c r="E28" i="37"/>
  <c r="B28" i="37"/>
  <c r="E22" i="37"/>
  <c r="B22" i="37"/>
  <c r="E16" i="37"/>
  <c r="B16" i="37"/>
  <c r="E10" i="37"/>
  <c r="B10" i="37"/>
  <c r="E4" i="37"/>
  <c r="B4" i="37"/>
  <c r="C50" i="16"/>
  <c r="P47" i="33"/>
  <c r="N47" i="33"/>
  <c r="M47" i="33"/>
  <c r="G47" i="33"/>
  <c r="H47" i="33" s="1"/>
  <c r="J47" i="33"/>
  <c r="C47" i="33"/>
  <c r="D47" i="33"/>
  <c r="E47" i="33"/>
  <c r="F47" i="33" s="1"/>
  <c r="I47" i="33"/>
  <c r="Q47" i="33"/>
  <c r="K47" i="33"/>
  <c r="L47" i="33" s="1"/>
  <c r="P41" i="33"/>
  <c r="N41" i="33"/>
  <c r="M41" i="33"/>
  <c r="D41" i="33"/>
  <c r="G41" i="33"/>
  <c r="H41" i="33" s="1"/>
  <c r="I41" i="33"/>
  <c r="J41" i="33"/>
  <c r="K41" i="33"/>
  <c r="L41" i="33" s="1"/>
  <c r="Q41" i="33"/>
  <c r="C41" i="33"/>
  <c r="P35" i="33"/>
  <c r="N35" i="33"/>
  <c r="M35" i="33"/>
  <c r="J35" i="33"/>
  <c r="C35" i="33"/>
  <c r="K35" i="33"/>
  <c r="L35" i="33" s="1"/>
  <c r="D35" i="33"/>
  <c r="E35" i="33"/>
  <c r="F35" i="33" s="1"/>
  <c r="G35" i="33"/>
  <c r="H35" i="33" s="1"/>
  <c r="I35" i="33"/>
  <c r="Q35" i="33"/>
  <c r="E29" i="33"/>
  <c r="F29" i="33" s="1"/>
  <c r="P29" i="33"/>
  <c r="N29" i="33"/>
  <c r="M29" i="33"/>
  <c r="G29" i="33"/>
  <c r="H29" i="33" s="1"/>
  <c r="I29" i="33"/>
  <c r="J29" i="33"/>
  <c r="C29" i="33"/>
  <c r="D29" i="33"/>
  <c r="K29" i="33"/>
  <c r="L29" i="33" s="1"/>
  <c r="Q29" i="33"/>
  <c r="C23" i="33"/>
  <c r="K23" i="33"/>
  <c r="L23" i="33" s="1"/>
  <c r="P23" i="33"/>
  <c r="N23" i="33"/>
  <c r="M23" i="33"/>
  <c r="D23" i="33"/>
  <c r="E23" i="33"/>
  <c r="F23" i="33" s="1"/>
  <c r="G23" i="33"/>
  <c r="H23" i="33" s="1"/>
  <c r="I23" i="33"/>
  <c r="J23" i="33"/>
  <c r="Q23" i="33"/>
  <c r="I17" i="33"/>
  <c r="P17" i="33"/>
  <c r="N17" i="33"/>
  <c r="M17" i="33"/>
  <c r="J17" i="33"/>
  <c r="C17" i="33"/>
  <c r="K17" i="33"/>
  <c r="L17" i="33" s="1"/>
  <c r="D17" i="33"/>
  <c r="Q17" i="33"/>
  <c r="E17" i="33"/>
  <c r="F17" i="33" s="1"/>
  <c r="E11" i="33"/>
  <c r="F11" i="33" s="1"/>
  <c r="P11" i="33"/>
  <c r="N11" i="33"/>
  <c r="M11" i="33"/>
  <c r="G11" i="33"/>
  <c r="H11" i="33" s="1"/>
  <c r="I11" i="33"/>
  <c r="J11" i="33"/>
  <c r="C11" i="33"/>
  <c r="D11" i="33"/>
  <c r="Q11" i="33"/>
  <c r="K11" i="33"/>
  <c r="L11" i="33" s="1"/>
  <c r="C5" i="33"/>
  <c r="K5" i="33"/>
  <c r="L5" i="33" s="1"/>
  <c r="P5" i="33"/>
  <c r="N5" i="33"/>
  <c r="M5" i="33"/>
  <c r="D5" i="33"/>
  <c r="E5" i="33"/>
  <c r="F5" i="33" s="1"/>
  <c r="G5" i="33"/>
  <c r="H5" i="33" s="1"/>
  <c r="I5" i="33"/>
  <c r="J5" i="33"/>
  <c r="Q5" i="33"/>
  <c r="Q33" i="33"/>
  <c r="B43" i="37"/>
  <c r="B31" i="37"/>
  <c r="B19" i="37"/>
  <c r="B6" i="37"/>
  <c r="E41" i="37"/>
  <c r="E23" i="37"/>
  <c r="E5" i="37"/>
  <c r="G48" i="33"/>
  <c r="H48" i="33" s="1"/>
  <c r="I42" i="33"/>
  <c r="J42" i="33" s="1"/>
  <c r="K32" i="33"/>
  <c r="L32" i="33" s="1"/>
  <c r="G17" i="33"/>
  <c r="H17" i="33" s="1"/>
  <c r="E8" i="37"/>
  <c r="B8" i="37"/>
  <c r="D50" i="33"/>
  <c r="J50" i="33"/>
  <c r="F50" i="33"/>
  <c r="L50" i="33"/>
  <c r="N50" i="33"/>
  <c r="P50" i="33"/>
  <c r="C50" i="33"/>
  <c r="E50" i="33"/>
  <c r="M50" i="33"/>
  <c r="G50" i="33"/>
  <c r="C14" i="33"/>
  <c r="K14" i="33"/>
  <c r="L14" i="33" s="1"/>
  <c r="D14" i="33"/>
  <c r="E14" i="33"/>
  <c r="F14" i="33" s="1"/>
  <c r="G14" i="33"/>
  <c r="H14" i="33" s="1"/>
  <c r="N14" i="33"/>
  <c r="P14" i="33"/>
  <c r="M14" i="33"/>
  <c r="I14" i="33"/>
  <c r="B3" i="37"/>
  <c r="B45" i="37"/>
  <c r="E45" i="37"/>
  <c r="B39" i="37"/>
  <c r="E33" i="37"/>
  <c r="B33" i="37"/>
  <c r="B27" i="37"/>
  <c r="E27" i="37"/>
  <c r="B21" i="37"/>
  <c r="E15" i="37"/>
  <c r="B15" i="37"/>
  <c r="B9" i="37"/>
  <c r="E9" i="37"/>
  <c r="P4" i="33"/>
  <c r="N4" i="33"/>
  <c r="M4" i="33"/>
  <c r="C4" i="33"/>
  <c r="D4" i="33" s="1"/>
  <c r="E4" i="33"/>
  <c r="F4" i="33" s="1"/>
  <c r="G4" i="33"/>
  <c r="H4" i="33"/>
  <c r="I4" i="33"/>
  <c r="J4" i="33" s="1"/>
  <c r="K4" i="33"/>
  <c r="L4" i="33" s="1"/>
  <c r="Q4" i="33"/>
  <c r="P46" i="33"/>
  <c r="N46" i="33"/>
  <c r="M46" i="33"/>
  <c r="H46" i="33"/>
  <c r="K46" i="33"/>
  <c r="L46" i="33" s="1"/>
  <c r="C46" i="33"/>
  <c r="D46" i="33" s="1"/>
  <c r="Q46" i="33"/>
  <c r="E46" i="33"/>
  <c r="F46" i="33" s="1"/>
  <c r="G46" i="33"/>
  <c r="P40" i="33"/>
  <c r="N40" i="33"/>
  <c r="M40" i="33"/>
  <c r="E40" i="33"/>
  <c r="F40" i="33" s="1"/>
  <c r="H40" i="33"/>
  <c r="C40" i="33"/>
  <c r="D40" i="33" s="1"/>
  <c r="G40" i="33"/>
  <c r="I40" i="33"/>
  <c r="J40" i="33" s="1"/>
  <c r="Q40" i="33"/>
  <c r="K40" i="33"/>
  <c r="L40" i="33" s="1"/>
  <c r="P34" i="33"/>
  <c r="N34" i="33"/>
  <c r="M34" i="33"/>
  <c r="K34" i="33"/>
  <c r="L34" i="33" s="1"/>
  <c r="C34" i="33"/>
  <c r="D34" i="33" s="1"/>
  <c r="E34" i="33"/>
  <c r="F34" i="33" s="1"/>
  <c r="Q34" i="33"/>
  <c r="G34" i="33"/>
  <c r="H34" i="33"/>
  <c r="P28" i="33"/>
  <c r="N28" i="33"/>
  <c r="M28" i="33"/>
  <c r="G28" i="33"/>
  <c r="H28" i="33"/>
  <c r="I28" i="33"/>
  <c r="J28" i="33" s="1"/>
  <c r="K28" i="33"/>
  <c r="L28" i="33" s="1"/>
  <c r="Q28" i="33"/>
  <c r="C28" i="33"/>
  <c r="D28" i="33" s="1"/>
  <c r="P22" i="33"/>
  <c r="N22" i="33"/>
  <c r="M22" i="33"/>
  <c r="C22" i="33"/>
  <c r="D22" i="33" s="1"/>
  <c r="E22" i="33"/>
  <c r="F22" i="33" s="1"/>
  <c r="G22" i="33"/>
  <c r="H22" i="33"/>
  <c r="Q22" i="33"/>
  <c r="I22" i="33"/>
  <c r="J22" i="33" s="1"/>
  <c r="P16" i="33"/>
  <c r="N16" i="33"/>
  <c r="M16" i="33"/>
  <c r="I16" i="33"/>
  <c r="J16" i="33" s="1"/>
  <c r="K16" i="33"/>
  <c r="L16" i="33" s="1"/>
  <c r="C16" i="33"/>
  <c r="D16" i="33" s="1"/>
  <c r="E16" i="33"/>
  <c r="F16" i="33" s="1"/>
  <c r="G16" i="33"/>
  <c r="Q16" i="33"/>
  <c r="H16" i="33"/>
  <c r="P10" i="33"/>
  <c r="N10" i="33"/>
  <c r="M10" i="33"/>
  <c r="G10" i="33"/>
  <c r="H10" i="33"/>
  <c r="I10" i="33"/>
  <c r="J10" i="33" s="1"/>
  <c r="K10" i="33"/>
  <c r="L10" i="33" s="1"/>
  <c r="C10" i="33"/>
  <c r="D10" i="33" s="1"/>
  <c r="E10" i="33"/>
  <c r="F10" i="33" s="1"/>
  <c r="Q10" i="33"/>
  <c r="Q44" i="33"/>
  <c r="Q32" i="33"/>
  <c r="Q20" i="33"/>
  <c r="Q8" i="33"/>
  <c r="B42" i="37"/>
  <c r="B30" i="37"/>
  <c r="B18" i="37"/>
  <c r="B5" i="37"/>
  <c r="E39" i="37"/>
  <c r="E21" i="37"/>
  <c r="E3" i="37"/>
  <c r="I50" i="33"/>
  <c r="E48" i="33"/>
  <c r="E41" i="33"/>
  <c r="F41" i="33" s="1"/>
  <c r="L30" i="33"/>
  <c r="J14" i="33"/>
  <c r="I45" i="33"/>
  <c r="J45" i="33" s="1"/>
  <c r="C45" i="33"/>
  <c r="D45" i="33" s="1"/>
  <c r="L45" i="33"/>
  <c r="G45" i="33"/>
  <c r="H45" i="33" s="1"/>
  <c r="P45" i="33"/>
  <c r="K45" i="33"/>
  <c r="M45" i="33"/>
  <c r="E45" i="33"/>
  <c r="F39" i="33"/>
  <c r="I39" i="33"/>
  <c r="J39" i="33" s="1"/>
  <c r="M39" i="33"/>
  <c r="C39" i="33"/>
  <c r="D39" i="33" s="1"/>
  <c r="E39" i="33"/>
  <c r="N39" i="33"/>
  <c r="G39" i="33"/>
  <c r="H39" i="33" s="1"/>
  <c r="K39" i="33"/>
  <c r="C33" i="33"/>
  <c r="D33" i="33" s="1"/>
  <c r="L33" i="33"/>
  <c r="E33" i="33"/>
  <c r="F33" i="33"/>
  <c r="G33" i="33"/>
  <c r="H33" i="33" s="1"/>
  <c r="N33" i="33"/>
  <c r="I33" i="33"/>
  <c r="J33" i="33" s="1"/>
  <c r="K33" i="33"/>
  <c r="P33" i="33"/>
  <c r="G27" i="33"/>
  <c r="H27" i="33" s="1"/>
  <c r="I27" i="33"/>
  <c r="J27" i="33" s="1"/>
  <c r="K27" i="33"/>
  <c r="C27" i="33"/>
  <c r="D27" i="33" s="1"/>
  <c r="L27" i="33"/>
  <c r="P27" i="33"/>
  <c r="E27" i="33"/>
  <c r="M27" i="33"/>
  <c r="F27" i="33"/>
  <c r="E21" i="33"/>
  <c r="F21" i="33"/>
  <c r="G21" i="33"/>
  <c r="H21" i="33" s="1"/>
  <c r="I21" i="33"/>
  <c r="J21" i="33" s="1"/>
  <c r="M21" i="33"/>
  <c r="C21" i="33"/>
  <c r="D21" i="33" s="1"/>
  <c r="K21" i="33"/>
  <c r="N21" i="33"/>
  <c r="L21" i="33"/>
  <c r="K15" i="33"/>
  <c r="C15" i="33"/>
  <c r="D15" i="33" s="1"/>
  <c r="L15" i="33"/>
  <c r="E15" i="33"/>
  <c r="F15" i="33"/>
  <c r="G15" i="33"/>
  <c r="H15" i="33" s="1"/>
  <c r="N15" i="33"/>
  <c r="I15" i="33"/>
  <c r="J15" i="33" s="1"/>
  <c r="P15" i="33"/>
  <c r="G9" i="33"/>
  <c r="H9" i="33" s="1"/>
  <c r="I9" i="33"/>
  <c r="J9" i="33" s="1"/>
  <c r="K9" i="33"/>
  <c r="C9" i="33"/>
  <c r="D9" i="33" s="1"/>
  <c r="L9" i="33"/>
  <c r="P9" i="33"/>
  <c r="M9" i="33"/>
  <c r="E9" i="33"/>
  <c r="Q43" i="33"/>
  <c r="Q31" i="33"/>
  <c r="Q19" i="33"/>
  <c r="B38" i="37"/>
  <c r="B26" i="37"/>
  <c r="B14" i="37"/>
  <c r="H50" i="33"/>
  <c r="L39" i="33"/>
  <c r="E28" i="33"/>
  <c r="F28" i="33" s="1"/>
  <c r="P21" i="33"/>
  <c r="I7" i="33"/>
  <c r="J7" i="33" s="1"/>
  <c r="K7" i="33"/>
  <c r="L7" i="33" s="1"/>
  <c r="C7" i="33"/>
  <c r="D7" i="33" s="1"/>
  <c r="P7" i="33"/>
  <c r="N7" i="33"/>
  <c r="M7" i="33"/>
  <c r="E7" i="33"/>
  <c r="F7" i="33" s="1"/>
  <c r="H7" i="33"/>
  <c r="G7" i="33"/>
  <c r="C15" i="16"/>
  <c r="D50" i="16"/>
  <c r="B50" i="21" s="1"/>
  <c r="J50" i="16"/>
  <c r="E50" i="21" s="1"/>
  <c r="C54" i="16"/>
  <c r="E55" i="16"/>
  <c r="G57" i="16"/>
  <c r="G50" i="16"/>
  <c r="I51" i="16"/>
  <c r="K52" i="16"/>
  <c r="E32" i="16"/>
  <c r="I27" i="16"/>
  <c r="G56" i="16"/>
  <c r="F54" i="16"/>
  <c r="J51" i="16"/>
  <c r="E51" i="21" s="1"/>
  <c r="C53" i="16"/>
  <c r="E54" i="16"/>
  <c r="G55" i="16"/>
  <c r="I57" i="16"/>
  <c r="I50" i="16"/>
  <c r="K51" i="16"/>
  <c r="E26" i="16"/>
  <c r="C9" i="16"/>
  <c r="C45" i="16"/>
  <c r="D45" i="16" s="1"/>
  <c r="B45" i="21" s="1"/>
  <c r="C33" i="16"/>
  <c r="D33" i="16" s="1"/>
  <c r="B33" i="21" s="1"/>
  <c r="K21" i="16"/>
  <c r="G51" i="16"/>
  <c r="F55" i="16"/>
  <c r="C55" i="21" s="1"/>
  <c r="J57" i="16"/>
  <c r="E57" i="21" s="1"/>
  <c r="C52" i="16"/>
  <c r="E53" i="16"/>
  <c r="G54" i="16"/>
  <c r="I55" i="16"/>
  <c r="K57" i="16"/>
  <c r="K50" i="16"/>
  <c r="E20" i="16"/>
  <c r="I56" i="16"/>
  <c r="G52" i="16"/>
  <c r="I52" i="16"/>
  <c r="H50" i="16"/>
  <c r="L51" i="16"/>
  <c r="F51" i="21" s="1"/>
  <c r="C51" i="16"/>
  <c r="I54" i="16"/>
  <c r="K55" i="16"/>
  <c r="C4" i="16"/>
  <c r="D4" i="16" s="1"/>
  <c r="E14" i="16"/>
  <c r="F14" i="16" s="1"/>
  <c r="C14" i="16"/>
  <c r="C8" i="16"/>
  <c r="D8" i="16" s="1"/>
  <c r="B8" i="21" s="1"/>
  <c r="C44" i="16"/>
  <c r="D44" i="16" s="1"/>
  <c r="B44" i="21" s="1"/>
  <c r="C32" i="16"/>
  <c r="C26" i="16"/>
  <c r="D26" i="16" s="1"/>
  <c r="B26" i="21" s="1"/>
  <c r="C38" i="16"/>
  <c r="D38" i="16" s="1"/>
  <c r="B38" i="21" s="1"/>
  <c r="K4" i="16"/>
  <c r="L4" i="16" s="1"/>
  <c r="K39" i="16"/>
  <c r="K33" i="16"/>
  <c r="L33" i="16" s="1"/>
  <c r="F33" i="21" s="1"/>
  <c r="K27" i="16"/>
  <c r="K15" i="16"/>
  <c r="L15" i="16" s="1"/>
  <c r="F15" i="21" s="1"/>
  <c r="K9" i="16"/>
  <c r="I4" i="16"/>
  <c r="I39" i="16"/>
  <c r="J39" i="16" s="1"/>
  <c r="E39" i="21" s="1"/>
  <c r="I33" i="16"/>
  <c r="I15" i="16"/>
  <c r="I9" i="16"/>
  <c r="K44" i="16"/>
  <c r="L44" i="16" s="1"/>
  <c r="F44" i="21" s="1"/>
  <c r="K38" i="16"/>
  <c r="K32" i="16"/>
  <c r="L32" i="16" s="1"/>
  <c r="F32" i="21" s="1"/>
  <c r="K26" i="16"/>
  <c r="L26" i="16" s="1"/>
  <c r="K20" i="16"/>
  <c r="K14" i="16"/>
  <c r="L14" i="16" s="1"/>
  <c r="F14" i="21" s="1"/>
  <c r="K8" i="16"/>
  <c r="L8" i="16" s="1"/>
  <c r="J27" i="16"/>
  <c r="E27" i="21" s="1"/>
  <c r="G4" i="16"/>
  <c r="G39" i="16"/>
  <c r="H39" i="16" s="1"/>
  <c r="G33" i="16"/>
  <c r="H33" i="16" s="1"/>
  <c r="G27" i="16"/>
  <c r="H27" i="16" s="1"/>
  <c r="G21" i="16"/>
  <c r="G15" i="16"/>
  <c r="G9" i="16"/>
  <c r="H9" i="16" s="1"/>
  <c r="I44" i="16"/>
  <c r="I38" i="16"/>
  <c r="I32" i="16"/>
  <c r="I26" i="16"/>
  <c r="I20" i="16"/>
  <c r="I14" i="16"/>
  <c r="I8" i="16"/>
  <c r="E4" i="16"/>
  <c r="E33" i="16"/>
  <c r="E27" i="16"/>
  <c r="F27" i="16" s="1"/>
  <c r="E15" i="16"/>
  <c r="E9" i="16"/>
  <c r="F9" i="16" s="1"/>
  <c r="C9" i="21" s="1"/>
  <c r="G44" i="16"/>
  <c r="G38" i="16"/>
  <c r="G32" i="16"/>
  <c r="G26" i="16"/>
  <c r="G20" i="16"/>
  <c r="H20" i="16" s="1"/>
  <c r="D20" i="21" s="1"/>
  <c r="G14" i="16"/>
  <c r="H14" i="16" s="1"/>
  <c r="D14" i="21" s="1"/>
  <c r="G8" i="16"/>
  <c r="C20" i="16"/>
  <c r="D20" i="16" s="1"/>
  <c r="B20" i="21" s="1"/>
  <c r="C39" i="16"/>
  <c r="D39" i="16" s="1"/>
  <c r="B39" i="21" s="1"/>
  <c r="C27" i="16"/>
  <c r="D27" i="16" s="1"/>
  <c r="B27" i="21" s="1"/>
  <c r="F53" i="16"/>
  <c r="C53" i="21" s="1"/>
  <c r="H53" i="16"/>
  <c r="J53" i="16"/>
  <c r="D53" i="16"/>
  <c r="B53" i="21" s="1"/>
  <c r="L53" i="16"/>
  <c r="F52" i="16"/>
  <c r="C52" i="21" s="1"/>
  <c r="D52" i="16"/>
  <c r="B52" i="21" s="1"/>
  <c r="H52" i="16"/>
  <c r="D52" i="21" s="1"/>
  <c r="J52" i="16"/>
  <c r="E52" i="21" s="1"/>
  <c r="L52" i="16"/>
  <c r="F52" i="21" s="1"/>
  <c r="D15" i="16"/>
  <c r="B15" i="21" s="1"/>
  <c r="D9" i="16"/>
  <c r="B9" i="21" s="1"/>
  <c r="D32" i="16"/>
  <c r="B32" i="21" s="1"/>
  <c r="D14" i="16"/>
  <c r="B14" i="21" s="1"/>
  <c r="D54" i="16"/>
  <c r="B54" i="21" s="1"/>
  <c r="F8" i="16"/>
  <c r="C8" i="21" s="1"/>
  <c r="F20" i="16"/>
  <c r="F26" i="16"/>
  <c r="F44" i="16"/>
  <c r="C44" i="21" s="1"/>
  <c r="F50" i="16"/>
  <c r="C50" i="21" s="1"/>
  <c r="F57" i="16"/>
  <c r="C57" i="21" s="1"/>
  <c r="H51" i="16"/>
  <c r="D51" i="21" s="1"/>
  <c r="F51" i="16"/>
  <c r="C51" i="21" s="1"/>
  <c r="L54" i="16"/>
  <c r="J54" i="16"/>
  <c r="L55" i="16"/>
  <c r="F39" i="16"/>
  <c r="E45" i="16" l="1"/>
  <c r="I45" i="16"/>
  <c r="K45" i="16"/>
  <c r="C21" i="16"/>
  <c r="D21" i="16" s="1"/>
  <c r="B21" i="21" s="1"/>
  <c r="E21" i="16"/>
  <c r="F21" i="16" s="1"/>
  <c r="G45" i="16"/>
  <c r="I21" i="16"/>
  <c r="I24" i="16"/>
  <c r="J24" i="16" s="1"/>
  <c r="K24" i="16"/>
  <c r="C24" i="16"/>
  <c r="D24" i="16" s="1"/>
  <c r="B24" i="21" s="1"/>
  <c r="E24" i="16"/>
  <c r="G24" i="16"/>
  <c r="G31" i="16"/>
  <c r="H31" i="16" s="1"/>
  <c r="D31" i="21" s="1"/>
  <c r="I31" i="16"/>
  <c r="J31" i="16" s="1"/>
  <c r="E31" i="21" s="1"/>
  <c r="K31" i="16"/>
  <c r="C31" i="16"/>
  <c r="E31" i="16"/>
  <c r="K11" i="16"/>
  <c r="C11" i="16"/>
  <c r="D11" i="16" s="1"/>
  <c r="B11" i="21" s="1"/>
  <c r="E11" i="16"/>
  <c r="G11" i="16"/>
  <c r="I11" i="16"/>
  <c r="C46" i="16"/>
  <c r="D46" i="16" s="1"/>
  <c r="B46" i="21" s="1"/>
  <c r="E46" i="16"/>
  <c r="F46" i="16" s="1"/>
  <c r="C46" i="21" s="1"/>
  <c r="G46" i="16"/>
  <c r="H46" i="16" s="1"/>
  <c r="D46" i="21" s="1"/>
  <c r="I46" i="16"/>
  <c r="J46" i="16" s="1"/>
  <c r="E46" i="21" s="1"/>
  <c r="K46" i="16"/>
  <c r="L46" i="16" s="1"/>
  <c r="F46" i="21" s="1"/>
  <c r="I30" i="16"/>
  <c r="K30" i="16"/>
  <c r="C30" i="16"/>
  <c r="D30" i="16" s="1"/>
  <c r="B30" i="21" s="1"/>
  <c r="E30" i="16"/>
  <c r="F30" i="16" s="1"/>
  <c r="C30" i="21" s="1"/>
  <c r="G30" i="16"/>
  <c r="G37" i="16"/>
  <c r="I37" i="16"/>
  <c r="K37" i="16"/>
  <c r="C37" i="16"/>
  <c r="D37" i="16" s="1"/>
  <c r="B37" i="21" s="1"/>
  <c r="E37" i="16"/>
  <c r="F37" i="16" s="1"/>
  <c r="C37" i="21" s="1"/>
  <c r="K23" i="16"/>
  <c r="C23" i="16"/>
  <c r="D23" i="16" s="1"/>
  <c r="B23" i="21" s="1"/>
  <c r="E23" i="16"/>
  <c r="G23" i="16"/>
  <c r="I23" i="16"/>
  <c r="K29" i="16"/>
  <c r="C29" i="16"/>
  <c r="E29" i="16"/>
  <c r="G29" i="16"/>
  <c r="I29" i="16"/>
  <c r="C28" i="16"/>
  <c r="D28" i="16" s="1"/>
  <c r="B28" i="21" s="1"/>
  <c r="E28" i="16"/>
  <c r="F28" i="16" s="1"/>
  <c r="C28" i="21" s="1"/>
  <c r="G28" i="16"/>
  <c r="H28" i="16" s="1"/>
  <c r="D28" i="21" s="1"/>
  <c r="I28" i="16"/>
  <c r="J28" i="16" s="1"/>
  <c r="E28" i="21" s="1"/>
  <c r="K28" i="16"/>
  <c r="L28" i="16" s="1"/>
  <c r="I36" i="16"/>
  <c r="K36" i="16"/>
  <c r="C36" i="16"/>
  <c r="D36" i="16" s="1"/>
  <c r="B36" i="21" s="1"/>
  <c r="E36" i="16"/>
  <c r="G36" i="16"/>
  <c r="G7" i="16"/>
  <c r="I7" i="16"/>
  <c r="K7" i="16"/>
  <c r="L7" i="16" s="1"/>
  <c r="F7" i="21" s="1"/>
  <c r="E7" i="16"/>
  <c r="F7" i="16" s="1"/>
  <c r="C7" i="21" s="1"/>
  <c r="C7" i="16"/>
  <c r="D7" i="16" s="1"/>
  <c r="B7" i="21" s="1"/>
  <c r="G43" i="16"/>
  <c r="H43" i="16" s="1"/>
  <c r="D43" i="21" s="1"/>
  <c r="I43" i="16"/>
  <c r="J43" i="16" s="1"/>
  <c r="K43" i="16"/>
  <c r="L43" i="16" s="1"/>
  <c r="F43" i="21" s="1"/>
  <c r="C43" i="16"/>
  <c r="D43" i="16" s="1"/>
  <c r="B43" i="21" s="1"/>
  <c r="E43" i="16"/>
  <c r="F43" i="16" s="1"/>
  <c r="C43" i="21" s="1"/>
  <c r="K35" i="16"/>
  <c r="C35" i="16"/>
  <c r="E35" i="16"/>
  <c r="G35" i="16"/>
  <c r="I35" i="16"/>
  <c r="K41" i="16"/>
  <c r="C41" i="16"/>
  <c r="E41" i="16"/>
  <c r="G41" i="16"/>
  <c r="I41" i="16"/>
  <c r="C10" i="16"/>
  <c r="D10" i="16" s="1"/>
  <c r="B10" i="21" s="1"/>
  <c r="E10" i="16"/>
  <c r="F10" i="16" s="1"/>
  <c r="C10" i="21" s="1"/>
  <c r="G10" i="16"/>
  <c r="H10" i="16" s="1"/>
  <c r="D10" i="21" s="1"/>
  <c r="I10" i="16"/>
  <c r="J10" i="16" s="1"/>
  <c r="E10" i="21" s="1"/>
  <c r="K10" i="16"/>
  <c r="C34" i="16"/>
  <c r="D34" i="16" s="1"/>
  <c r="B34" i="21" s="1"/>
  <c r="E34" i="16"/>
  <c r="F34" i="16" s="1"/>
  <c r="C34" i="21" s="1"/>
  <c r="G34" i="16"/>
  <c r="H34" i="16" s="1"/>
  <c r="D34" i="21" s="1"/>
  <c r="I34" i="16"/>
  <c r="J34" i="16" s="1"/>
  <c r="E34" i="21" s="1"/>
  <c r="K34" i="16"/>
  <c r="L34" i="16" s="1"/>
  <c r="F34" i="21" s="1"/>
  <c r="I6" i="16"/>
  <c r="K6" i="16"/>
  <c r="C6" i="16"/>
  <c r="D6" i="16" s="1"/>
  <c r="B6" i="21" s="1"/>
  <c r="E6" i="16"/>
  <c r="G6" i="16"/>
  <c r="H6" i="16" s="1"/>
  <c r="D6" i="21" s="1"/>
  <c r="I42" i="16"/>
  <c r="J42" i="16" s="1"/>
  <c r="E42" i="21" s="1"/>
  <c r="K42" i="16"/>
  <c r="C42" i="16"/>
  <c r="D42" i="16" s="1"/>
  <c r="B42" i="21" s="1"/>
  <c r="E42" i="16"/>
  <c r="G42" i="16"/>
  <c r="H42" i="16" s="1"/>
  <c r="D42" i="21" s="1"/>
  <c r="G13" i="16"/>
  <c r="I13" i="16"/>
  <c r="K13" i="16"/>
  <c r="C13" i="16"/>
  <c r="D13" i="16" s="1"/>
  <c r="B13" i="21" s="1"/>
  <c r="E13" i="16"/>
  <c r="F13" i="16" s="1"/>
  <c r="C13" i="21" s="1"/>
  <c r="G49" i="16"/>
  <c r="H49" i="16" s="1"/>
  <c r="D49" i="21" s="1"/>
  <c r="I49" i="16"/>
  <c r="K49" i="16"/>
  <c r="L49" i="16" s="1"/>
  <c r="F49" i="21" s="1"/>
  <c r="C49" i="16"/>
  <c r="D49" i="16" s="1"/>
  <c r="B49" i="21" s="1"/>
  <c r="E49" i="16"/>
  <c r="F49" i="16" s="1"/>
  <c r="C49" i="21" s="1"/>
  <c r="C16" i="16"/>
  <c r="D16" i="16" s="1"/>
  <c r="B16" i="21" s="1"/>
  <c r="E16" i="16"/>
  <c r="F16" i="16" s="1"/>
  <c r="C16" i="21" s="1"/>
  <c r="G16" i="16"/>
  <c r="H16" i="16" s="1"/>
  <c r="D16" i="21" s="1"/>
  <c r="I16" i="16"/>
  <c r="J16" i="16" s="1"/>
  <c r="E16" i="21" s="1"/>
  <c r="K16" i="16"/>
  <c r="L16" i="16" s="1"/>
  <c r="F16" i="21" s="1"/>
  <c r="I12" i="16"/>
  <c r="J12" i="16" s="1"/>
  <c r="E12" i="21" s="1"/>
  <c r="K12" i="16"/>
  <c r="L12" i="16" s="1"/>
  <c r="F12" i="21" s="1"/>
  <c r="C12" i="16"/>
  <c r="D12" i="16" s="1"/>
  <c r="B12" i="21" s="1"/>
  <c r="E12" i="16"/>
  <c r="F12" i="16" s="1"/>
  <c r="C12" i="21" s="1"/>
  <c r="G12" i="16"/>
  <c r="H12" i="16" s="1"/>
  <c r="D12" i="21" s="1"/>
  <c r="I48" i="16"/>
  <c r="J48" i="16" s="1"/>
  <c r="E48" i="21" s="1"/>
  <c r="G48" i="16"/>
  <c r="K48" i="16"/>
  <c r="C48" i="16"/>
  <c r="D48" i="16" s="1"/>
  <c r="B48" i="21" s="1"/>
  <c r="E48" i="16"/>
  <c r="G19" i="16"/>
  <c r="I19" i="16"/>
  <c r="K19" i="16"/>
  <c r="C19" i="16"/>
  <c r="D19" i="16" s="1"/>
  <c r="B19" i="21" s="1"/>
  <c r="E19" i="16"/>
  <c r="F19" i="16" s="1"/>
  <c r="C19" i="21" s="1"/>
  <c r="K5" i="16"/>
  <c r="C5" i="16"/>
  <c r="D5" i="16" s="1"/>
  <c r="B5" i="21" s="1"/>
  <c r="E5" i="16"/>
  <c r="F5" i="16" s="1"/>
  <c r="C5" i="21" s="1"/>
  <c r="G5" i="16"/>
  <c r="I5" i="16"/>
  <c r="C40" i="16"/>
  <c r="D40" i="16" s="1"/>
  <c r="B40" i="21" s="1"/>
  <c r="E40" i="16"/>
  <c r="F40" i="16" s="1"/>
  <c r="C40" i="21" s="1"/>
  <c r="G40" i="16"/>
  <c r="H40" i="16" s="1"/>
  <c r="D40" i="21" s="1"/>
  <c r="I40" i="16"/>
  <c r="J40" i="16" s="1"/>
  <c r="E40" i="21" s="1"/>
  <c r="K40" i="16"/>
  <c r="L40" i="16" s="1"/>
  <c r="F40" i="21" s="1"/>
  <c r="I18" i="16"/>
  <c r="K18" i="16"/>
  <c r="C18" i="16"/>
  <c r="D18" i="16" s="1"/>
  <c r="B18" i="21" s="1"/>
  <c r="E18" i="16"/>
  <c r="G18" i="16"/>
  <c r="H18" i="16" s="1"/>
  <c r="D18" i="21" s="1"/>
  <c r="G25" i="16"/>
  <c r="I25" i="16"/>
  <c r="K25" i="16"/>
  <c r="C25" i="16"/>
  <c r="D25" i="16" s="1"/>
  <c r="B25" i="21" s="1"/>
  <c r="E25" i="16"/>
  <c r="F25" i="16" s="1"/>
  <c r="C25" i="21" s="1"/>
  <c r="K17" i="16"/>
  <c r="C17" i="16"/>
  <c r="D17" i="16" s="1"/>
  <c r="B17" i="21" s="1"/>
  <c r="E17" i="16"/>
  <c r="F17" i="16" s="1"/>
  <c r="C17" i="21" s="1"/>
  <c r="G17" i="16"/>
  <c r="I17" i="16"/>
  <c r="K47" i="16"/>
  <c r="C47" i="16"/>
  <c r="D47" i="16" s="1"/>
  <c r="B47" i="21" s="1"/>
  <c r="E47" i="16"/>
  <c r="F47" i="16" s="1"/>
  <c r="C47" i="21" s="1"/>
  <c r="G47" i="16"/>
  <c r="H47" i="16" s="1"/>
  <c r="D47" i="21" s="1"/>
  <c r="I47" i="16"/>
  <c r="C22" i="16"/>
  <c r="D22" i="16" s="1"/>
  <c r="B22" i="21" s="1"/>
  <c r="E22" i="16"/>
  <c r="F22" i="16" s="1"/>
  <c r="C22" i="21" s="1"/>
  <c r="G22" i="16"/>
  <c r="H22" i="16" s="1"/>
  <c r="D22" i="21" s="1"/>
  <c r="I22" i="16"/>
  <c r="J22" i="16" s="1"/>
  <c r="E22" i="21" s="1"/>
  <c r="K22" i="16"/>
  <c r="L22" i="16" s="1"/>
  <c r="F22" i="21" s="1"/>
  <c r="L45" i="16"/>
  <c r="F45" i="21" s="1"/>
  <c r="J14" i="16"/>
  <c r="E14" i="21" s="1"/>
  <c r="H44" i="16"/>
  <c r="D44" i="21" s="1"/>
  <c r="J21" i="16"/>
  <c r="E21" i="21" s="1"/>
  <c r="H38" i="16"/>
  <c r="D38" i="21" s="1"/>
  <c r="F28" i="21"/>
  <c r="L9" i="16"/>
  <c r="F9" i="21" s="1"/>
  <c r="F15" i="16"/>
  <c r="C15" i="21" s="1"/>
  <c r="D31" i="16"/>
  <c r="B31" i="21" s="1"/>
  <c r="F50" i="21"/>
  <c r="J44" i="16"/>
  <c r="E44" i="21" s="1"/>
  <c r="D33" i="21"/>
  <c r="C26" i="21"/>
  <c r="C27" i="21"/>
  <c r="J15" i="16"/>
  <c r="E15" i="21" s="1"/>
  <c r="H32" i="16"/>
  <c r="D32" i="21" s="1"/>
  <c r="L21" i="16"/>
  <c r="F21" i="21" s="1"/>
  <c r="E55" i="21"/>
  <c r="F55" i="21"/>
  <c r="D55" i="21"/>
  <c r="F45" i="16"/>
  <c r="C45" i="21" s="1"/>
  <c r="E43" i="21"/>
  <c r="J45" i="16"/>
  <c r="E45" i="21" s="1"/>
  <c r="D50" i="21"/>
  <c r="C20" i="21"/>
  <c r="D27" i="21"/>
  <c r="J38" i="16"/>
  <c r="E38" i="21" s="1"/>
  <c r="J9" i="16"/>
  <c r="E9" i="21" s="1"/>
  <c r="J8" i="16"/>
  <c r="E8" i="21" s="1"/>
  <c r="C54" i="21"/>
  <c r="D54" i="21"/>
  <c r="E54" i="21"/>
  <c r="F54" i="21"/>
  <c r="H21" i="16"/>
  <c r="D21" i="21" s="1"/>
  <c r="F38" i="16"/>
  <c r="C38" i="21" s="1"/>
  <c r="L20" i="16"/>
  <c r="F20" i="21" s="1"/>
  <c r="J26" i="16"/>
  <c r="E26" i="21" s="1"/>
  <c r="C14" i="21"/>
  <c r="H8" i="16"/>
  <c r="D8" i="21" s="1"/>
  <c r="H45" i="16"/>
  <c r="D45" i="21" s="1"/>
  <c r="F8" i="21"/>
  <c r="L39" i="16"/>
  <c r="F39" i="21" s="1"/>
  <c r="D39" i="21"/>
  <c r="L27" i="16"/>
  <c r="F27" i="21" s="1"/>
  <c r="C39" i="21"/>
  <c r="H26" i="16"/>
  <c r="D26" i="21" s="1"/>
  <c r="J33" i="16"/>
  <c r="E33" i="21" s="1"/>
  <c r="J32" i="16"/>
  <c r="E32" i="21" s="1"/>
  <c r="E24" i="21"/>
  <c r="J20" i="16"/>
  <c r="E20" i="21" s="1"/>
  <c r="D9" i="21"/>
  <c r="F33" i="16"/>
  <c r="C33" i="21" s="1"/>
  <c r="H30" i="16"/>
  <c r="D30" i="21" s="1"/>
  <c r="H15" i="16"/>
  <c r="D15" i="21" s="1"/>
  <c r="F32" i="16"/>
  <c r="C32" i="21" s="1"/>
  <c r="L38" i="16"/>
  <c r="F38" i="21" s="1"/>
  <c r="F26" i="21"/>
  <c r="D53" i="21"/>
  <c r="E53" i="21"/>
  <c r="F53" i="21"/>
  <c r="C21" i="21"/>
  <c r="E58" i="4"/>
  <c r="D41" i="16" l="1"/>
  <c r="B41" i="21" s="1"/>
  <c r="L10" i="16"/>
  <c r="F10" i="21" s="1"/>
  <c r="H37" i="16"/>
  <c r="D37" i="21" s="1"/>
  <c r="H29" i="16"/>
  <c r="D29" i="21" s="1"/>
  <c r="L5" i="16"/>
  <c r="F5" i="21" s="1"/>
  <c r="L23" i="16"/>
  <c r="F23" i="21" s="1"/>
  <c r="H24" i="16"/>
  <c r="D24" i="21" s="1"/>
  <c r="J36" i="16"/>
  <c r="E36" i="21" s="1"/>
  <c r="J18" i="16"/>
  <c r="E18" i="21" s="1"/>
  <c r="J47" i="16"/>
  <c r="E47" i="21" s="1"/>
  <c r="L36" i="16"/>
  <c r="F36" i="21" s="1"/>
  <c r="L37" i="16"/>
  <c r="F37" i="21" s="1"/>
  <c r="L41" i="16"/>
  <c r="F41" i="21" s="1"/>
  <c r="F31" i="16"/>
  <c r="C31" i="21" s="1"/>
  <c r="J5" i="16"/>
  <c r="E5" i="21" s="1"/>
  <c r="F23" i="16"/>
  <c r="C23" i="21" s="1"/>
  <c r="L24" i="16"/>
  <c r="F24" i="21" s="1"/>
  <c r="D35" i="16"/>
  <c r="B35" i="21" s="1"/>
  <c r="F18" i="16"/>
  <c r="C18" i="21" s="1"/>
  <c r="F36" i="16"/>
  <c r="C36" i="21" s="1"/>
  <c r="H48" i="16"/>
  <c r="D48" i="21" s="1"/>
  <c r="F41" i="16"/>
  <c r="C41" i="21" s="1"/>
  <c r="J35" i="16"/>
  <c r="E35" i="21" s="1"/>
  <c r="J49" i="16"/>
  <c r="E49" i="21" s="1"/>
  <c r="J19" i="16"/>
  <c r="E19" i="21" s="1"/>
  <c r="J13" i="16"/>
  <c r="E13" i="21" s="1"/>
  <c r="H5" i="16"/>
  <c r="D5" i="21" s="1"/>
  <c r="H11" i="16"/>
  <c r="D11" i="21" s="1"/>
  <c r="H19" i="16"/>
  <c r="D19" i="21" s="1"/>
  <c r="J23" i="16"/>
  <c r="E23" i="21" s="1"/>
  <c r="H13" i="16"/>
  <c r="D13" i="21" s="1"/>
  <c r="F24" i="16"/>
  <c r="C24" i="21" s="1"/>
  <c r="L42" i="16"/>
  <c r="F42" i="21" s="1"/>
  <c r="H7" i="16"/>
  <c r="D7" i="21" s="1"/>
  <c r="L18" i="16"/>
  <c r="F18" i="21" s="1"/>
  <c r="H36" i="16"/>
  <c r="D36" i="21" s="1"/>
  <c r="D29" i="16"/>
  <c r="B29" i="21" s="1"/>
  <c r="L48" i="16"/>
  <c r="F48" i="21" s="1"/>
  <c r="J6" i="16"/>
  <c r="E6" i="21" s="1"/>
  <c r="H25" i="16"/>
  <c r="D25" i="21" s="1"/>
  <c r="H41" i="16"/>
  <c r="D41" i="21" s="1"/>
  <c r="L35" i="16"/>
  <c r="F35" i="21" s="1"/>
  <c r="F29" i="16"/>
  <c r="C29" i="21" s="1"/>
  <c r="H17" i="16"/>
  <c r="D17" i="21" s="1"/>
  <c r="H23" i="16"/>
  <c r="D23" i="21" s="1"/>
  <c r="J7" i="16"/>
  <c r="E7" i="21" s="1"/>
  <c r="L47" i="16"/>
  <c r="F47" i="21" s="1"/>
  <c r="J30" i="16"/>
  <c r="E30" i="21" s="1"/>
  <c r="F11" i="16"/>
  <c r="C11" i="21" s="1"/>
  <c r="J17" i="16"/>
  <c r="E17" i="21" s="1"/>
  <c r="L13" i="16"/>
  <c r="F13" i="21" s="1"/>
  <c r="L31" i="16"/>
  <c r="F31" i="21" s="1"/>
  <c r="J37" i="16"/>
  <c r="E37" i="21" s="1"/>
  <c r="F48" i="16"/>
  <c r="C48" i="21" s="1"/>
  <c r="L6" i="16"/>
  <c r="F6" i="21" s="1"/>
  <c r="L25" i="16"/>
  <c r="F25" i="21" s="1"/>
  <c r="J41" i="16"/>
  <c r="E41" i="21" s="1"/>
  <c r="F35" i="16"/>
  <c r="C35" i="21" s="1"/>
  <c r="L29" i="16"/>
  <c r="F29" i="21" s="1"/>
  <c r="L11" i="16"/>
  <c r="F11" i="21" s="1"/>
  <c r="J11" i="16"/>
  <c r="E11" i="21" s="1"/>
  <c r="L17" i="16"/>
  <c r="F17" i="21" s="1"/>
  <c r="L19" i="16"/>
  <c r="F19" i="21" s="1"/>
  <c r="L30" i="16"/>
  <c r="F30" i="21" s="1"/>
  <c r="F42" i="16"/>
  <c r="C42" i="21" s="1"/>
  <c r="F6" i="16"/>
  <c r="C6" i="21" s="1"/>
  <c r="J25" i="16"/>
  <c r="E25" i="21" s="1"/>
  <c r="H35" i="16"/>
  <c r="D35" i="21" s="1"/>
  <c r="J29" i="16"/>
  <c r="E29" i="21" s="1"/>
  <c r="F58" i="4"/>
  <c r="D58" i="4"/>
  <c r="A1" i="37" l="1"/>
  <c r="I58" i="16" l="1"/>
  <c r="J4" i="16"/>
  <c r="K58" i="33"/>
  <c r="I58" i="33"/>
  <c r="G58" i="33"/>
  <c r="A1" i="33"/>
  <c r="E58" i="33" l="1"/>
  <c r="F58" i="33"/>
  <c r="J58" i="33"/>
  <c r="L58" i="33"/>
  <c r="H58" i="33"/>
  <c r="K58" i="16" l="1"/>
  <c r="L58" i="16" l="1"/>
  <c r="F4" i="21" l="1"/>
  <c r="F58" i="21" s="1"/>
  <c r="C1" i="21" l="1"/>
  <c r="E58" i="16" l="1"/>
  <c r="F4" i="16"/>
  <c r="G58" i="16"/>
  <c r="H4" i="16"/>
  <c r="H58" i="16" s="1"/>
  <c r="D4" i="21" l="1"/>
  <c r="D58" i="21" s="1"/>
  <c r="B1" i="16"/>
  <c r="J58" i="16" l="1"/>
  <c r="E4" i="21" l="1"/>
  <c r="E58" i="21" s="1"/>
  <c r="H62" i="33" l="1"/>
  <c r="J62" i="33"/>
  <c r="K62" i="33"/>
  <c r="I62" i="33"/>
  <c r="M58" i="33"/>
  <c r="N58" i="33" s="1"/>
  <c r="C58" i="33"/>
  <c r="C58" i="16"/>
  <c r="C58" i="4"/>
  <c r="D58" i="33" l="1"/>
  <c r="G62" i="33" s="1"/>
  <c r="N62" i="33" s="1"/>
  <c r="P58" i="33"/>
  <c r="Q62" i="33" s="1"/>
  <c r="B58" i="4" l="1"/>
  <c r="B57" i="37"/>
  <c r="E57" i="37"/>
  <c r="B4" i="21"/>
  <c r="D58" i="16"/>
  <c r="B58" i="21" l="1"/>
  <c r="C4" i="21"/>
  <c r="C58" i="21" s="1"/>
  <c r="F58" i="16"/>
  <c r="D60" i="21" l="1"/>
</calcChain>
</file>

<file path=xl/sharedStrings.xml><?xml version="1.0" encoding="utf-8"?>
<sst xmlns="http://schemas.openxmlformats.org/spreadsheetml/2006/main" count="119" uniqueCount="106">
  <si>
    <t>　　合　　　　　　　計</t>
    <rPh sb="2" eb="3">
      <t>ゴウ</t>
    </rPh>
    <rPh sb="10" eb="11">
      <t>ケイ</t>
    </rPh>
    <phoneticPr fontId="2"/>
  </si>
  <si>
    <t>総合計</t>
    <phoneticPr fontId="2"/>
  </si>
  <si>
    <t>　　品　　　　名</t>
  </si>
  <si>
    <t>箱数合計</t>
    <phoneticPr fontId="2"/>
  </si>
  <si>
    <t>１箱の個数</t>
    <rPh sb="1" eb="2">
      <t>ハコ</t>
    </rPh>
    <rPh sb="3" eb="5">
      <t>コスウ</t>
    </rPh>
    <phoneticPr fontId="2"/>
  </si>
  <si>
    <t>　箱数計算書</t>
    <phoneticPr fontId="2"/>
  </si>
  <si>
    <t>販売分</t>
    <rPh sb="0" eb="2">
      <t>ハンバイ</t>
    </rPh>
    <rPh sb="2" eb="3">
      <t>ブン</t>
    </rPh>
    <phoneticPr fontId="2"/>
  </si>
  <si>
    <t>　　　　 合　     計</t>
    <rPh sb="5" eb="6">
      <t>ア</t>
    </rPh>
    <rPh sb="12" eb="13">
      <t>ケイ</t>
    </rPh>
    <phoneticPr fontId="2"/>
  </si>
  <si>
    <t>販売分</t>
    <rPh sb="0" eb="2">
      <t>ハンバイ</t>
    </rPh>
    <rPh sb="2" eb="3">
      <t>ブン</t>
    </rPh>
    <phoneticPr fontId="2"/>
  </si>
  <si>
    <t>合計</t>
    <rPh sb="0" eb="2">
      <t>ゴウケイ</t>
    </rPh>
    <phoneticPr fontId="2"/>
  </si>
  <si>
    <t>計算書</t>
    <phoneticPr fontId="2"/>
  </si>
  <si>
    <t>単価</t>
    <rPh sb="0" eb="2">
      <t>タンカ</t>
    </rPh>
    <phoneticPr fontId="2"/>
  </si>
  <si>
    <t>全個数</t>
    <rPh sb="0" eb="1">
      <t>ゼン</t>
    </rPh>
    <phoneticPr fontId="2"/>
  </si>
  <si>
    <t>合計金額</t>
    <phoneticPr fontId="2"/>
  </si>
  <si>
    <t>合　　計</t>
    <rPh sb="0" eb="1">
      <t>ゴウ</t>
    </rPh>
    <rPh sb="3" eb="4">
      <t>ケイ</t>
    </rPh>
    <phoneticPr fontId="2"/>
  </si>
  <si>
    <t>総合計</t>
    <rPh sb="0" eb="1">
      <t>ソウ</t>
    </rPh>
    <rPh sb="1" eb="3">
      <t>ゴウケイ</t>
    </rPh>
    <phoneticPr fontId="2"/>
  </si>
  <si>
    <t>商品名</t>
  </si>
  <si>
    <t>限界利益単価</t>
    <rPh sb="0" eb="4">
      <t>ゲンカイリエキ</t>
    </rPh>
    <rPh sb="4" eb="6">
      <t>タンカ</t>
    </rPh>
    <phoneticPr fontId="2"/>
  </si>
  <si>
    <t>限界利益</t>
    <rPh sb="0" eb="4">
      <t>ゲンカイリエキ</t>
    </rPh>
    <phoneticPr fontId="2"/>
  </si>
  <si>
    <t>税込</t>
    <rPh sb="0" eb="2">
      <t>ゼイコミ</t>
    </rPh>
    <phoneticPr fontId="2"/>
  </si>
  <si>
    <t>注文数チェック</t>
  </si>
  <si>
    <t>注文総合計</t>
    <phoneticPr fontId="2"/>
  </si>
  <si>
    <t>倍数</t>
    <phoneticPr fontId="2"/>
  </si>
  <si>
    <t>総数</t>
    <phoneticPr fontId="2"/>
  </si>
  <si>
    <t>鉄板の個数</t>
    <phoneticPr fontId="2"/>
  </si>
  <si>
    <t>換算鉄板数</t>
    <phoneticPr fontId="2"/>
  </si>
  <si>
    <t>鉄板数</t>
    <phoneticPr fontId="2"/>
  </si>
  <si>
    <t>余り</t>
    <phoneticPr fontId="2"/>
  </si>
  <si>
    <t>日付変更</t>
    <rPh sb="0" eb="2">
      <t>ヒツ</t>
    </rPh>
    <rPh sb="2" eb="4">
      <t>ヘンコウ</t>
    </rPh>
    <phoneticPr fontId="2"/>
  </si>
  <si>
    <t>野菜ロール確認</t>
    <rPh sb="0" eb="2">
      <t>ヤサイ</t>
    </rPh>
    <rPh sb="5" eb="7">
      <t>カクニン</t>
    </rPh>
    <phoneticPr fontId="2"/>
  </si>
  <si>
    <t>店舗を確認</t>
    <rPh sb="0" eb="2">
      <t>テンポ</t>
    </rPh>
    <rPh sb="3" eb="5">
      <t>カクニン</t>
    </rPh>
    <phoneticPr fontId="2"/>
  </si>
  <si>
    <t>注文数チェックする</t>
    <rPh sb="0" eb="2">
      <t>チュウモン</t>
    </rPh>
    <rPh sb="2" eb="3">
      <t>スウ</t>
    </rPh>
    <phoneticPr fontId="2"/>
  </si>
  <si>
    <t>プリントについて</t>
    <phoneticPr fontId="2"/>
  </si>
  <si>
    <t>（２階２枚）</t>
    <rPh sb="2" eb="3">
      <t>カイ</t>
    </rPh>
    <rPh sb="4" eb="5">
      <t>マイ</t>
    </rPh>
    <phoneticPr fontId="2"/>
  </si>
  <si>
    <t>（３階事務所）</t>
    <rPh sb="2" eb="3">
      <t>カイ</t>
    </rPh>
    <rPh sb="3" eb="6">
      <t>ジムショ</t>
    </rPh>
    <phoneticPr fontId="2"/>
  </si>
  <si>
    <t>（１階製造　２枚/ﾚｼﾞ１枚/シールラベルチェック用１枚）</t>
    <rPh sb="2" eb="3">
      <t>カイ</t>
    </rPh>
    <rPh sb="3" eb="5">
      <t>セイゾウ</t>
    </rPh>
    <rPh sb="7" eb="8">
      <t>マイ</t>
    </rPh>
    <rPh sb="13" eb="14">
      <t>マイ</t>
    </rPh>
    <rPh sb="25" eb="26">
      <t>ヨウ</t>
    </rPh>
    <rPh sb="27" eb="28">
      <t>マイ</t>
    </rPh>
    <phoneticPr fontId="2"/>
  </si>
  <si>
    <t>（２階１枚）</t>
    <rPh sb="2" eb="3">
      <t>カイ</t>
    </rPh>
    <rPh sb="4" eb="5">
      <t>マイ</t>
    </rPh>
    <phoneticPr fontId="2"/>
  </si>
  <si>
    <t>(１階シールラベルチェック表１枚)</t>
    <rPh sb="2" eb="3">
      <t>カイ</t>
    </rPh>
    <rPh sb="13" eb="14">
      <t>ヒョウ</t>
    </rPh>
    <rPh sb="15" eb="16">
      <t>マイ</t>
    </rPh>
    <phoneticPr fontId="2"/>
  </si>
  <si>
    <t>(3階事務所</t>
    <rPh sb="2" eb="3">
      <t>カイ</t>
    </rPh>
    <rPh sb="3" eb="6">
      <t>ジムショ</t>
    </rPh>
    <phoneticPr fontId="2"/>
  </si>
  <si>
    <t>南からの表</t>
    <rPh sb="0" eb="1">
      <t>ミナミ</t>
    </rPh>
    <rPh sb="4" eb="5">
      <t>ヒョウ</t>
    </rPh>
    <phoneticPr fontId="2"/>
  </si>
  <si>
    <t>＊白の日→</t>
    <rPh sb="1" eb="2">
      <t>シロ</t>
    </rPh>
    <rPh sb="3" eb="4">
      <t>ヒ</t>
    </rPh>
    <phoneticPr fontId="2"/>
  </si>
  <si>
    <t>＊みどり→南からの表のうち３枚を緑に１階製造　２枚/ﾚｼﾞ１枚</t>
    <rPh sb="5" eb="6">
      <t>ミナミ</t>
    </rPh>
    <rPh sb="9" eb="10">
      <t>ヒョウ</t>
    </rPh>
    <rPh sb="14" eb="15">
      <t>マイ</t>
    </rPh>
    <rPh sb="16" eb="17">
      <t>ミドリ</t>
    </rPh>
    <phoneticPr fontId="2"/>
  </si>
  <si>
    <t>↓社長のいるところ、レジ横の製造</t>
    <rPh sb="1" eb="3">
      <t>シャチョウ</t>
    </rPh>
    <rPh sb="12" eb="13">
      <t>ヨコ</t>
    </rPh>
    <rPh sb="14" eb="16">
      <t>セイゾウ</t>
    </rPh>
    <phoneticPr fontId="2"/>
  </si>
  <si>
    <t>箱数計算書　１枚(2F)</t>
    <rPh sb="0" eb="2">
      <t>ハコスウ</t>
    </rPh>
    <rPh sb="2" eb="5">
      <t>ケイサンショ</t>
    </rPh>
    <rPh sb="7" eb="8">
      <t>マイ</t>
    </rPh>
    <phoneticPr fontId="2"/>
  </si>
  <si>
    <t>箱数</t>
  </si>
  <si>
    <t>6枚</t>
    <rPh sb="1" eb="2">
      <t>マイ</t>
    </rPh>
    <phoneticPr fontId="2"/>
  </si>
  <si>
    <t>和歌山からの表　2枚</t>
    <rPh sb="0" eb="3">
      <t>ワカヤマ</t>
    </rPh>
    <rPh sb="6" eb="7">
      <t>ヒョウ</t>
    </rPh>
    <rPh sb="9" eb="10">
      <t>マイ</t>
    </rPh>
    <phoneticPr fontId="2"/>
  </si>
  <si>
    <t>2026/7/1～</t>
    <phoneticPr fontId="2"/>
  </si>
  <si>
    <t>店売り数</t>
    <rPh sb="0" eb="2">
      <t>ミセウ</t>
    </rPh>
    <rPh sb="3" eb="4">
      <t>カズ</t>
    </rPh>
    <phoneticPr fontId="2"/>
  </si>
  <si>
    <t>ラベル包装階</t>
    <rPh sb="3" eb="5">
      <t>ホウソウ</t>
    </rPh>
    <rPh sb="5" eb="6">
      <t>カイ</t>
    </rPh>
    <phoneticPr fontId="2"/>
  </si>
  <si>
    <t>1箱当たりの入数</t>
    <rPh sb="1" eb="2">
      <t>ハコ</t>
    </rPh>
    <rPh sb="2" eb="3">
      <t>ア</t>
    </rPh>
    <rPh sb="6" eb="8">
      <t>イリスウ</t>
    </rPh>
    <phoneticPr fontId="2"/>
  </si>
  <si>
    <t>商品名</t>
    <rPh sb="0" eb="3">
      <t>ショウヒンメイ</t>
    </rPh>
    <phoneticPr fontId="2"/>
  </si>
  <si>
    <t>ID</t>
    <phoneticPr fontId="2"/>
  </si>
  <si>
    <t>箱数換算表</t>
    <rPh sb="0" eb="2">
      <t>ハコスウ</t>
    </rPh>
    <rPh sb="2" eb="4">
      <t>カンサン</t>
    </rPh>
    <rPh sb="4" eb="5">
      <t>ヒョウ</t>
    </rPh>
    <phoneticPr fontId="2"/>
  </si>
  <si>
    <t>限界利益単価</t>
    <phoneticPr fontId="2"/>
  </si>
  <si>
    <t>注文数倍数</t>
    <rPh sb="0" eb="3">
      <t>チュウモンスウ</t>
    </rPh>
    <rPh sb="3" eb="5">
      <t>バイスウ</t>
    </rPh>
    <phoneticPr fontId="2"/>
  </si>
  <si>
    <t>店売り数</t>
    <rPh sb="0" eb="2">
      <t>ミセウ</t>
    </rPh>
    <rPh sb="3" eb="4">
      <t>スウ</t>
    </rPh>
    <phoneticPr fontId="2"/>
  </si>
  <si>
    <t>商品A</t>
    <rPh sb="0" eb="2">
      <t>ショウヒン</t>
    </rPh>
    <phoneticPr fontId="2"/>
  </si>
  <si>
    <t>商品B</t>
    <rPh sb="0" eb="2">
      <t>ショウヒン</t>
    </rPh>
    <phoneticPr fontId="2"/>
  </si>
  <si>
    <t>商品C(バリエーション1)</t>
    <rPh sb="0" eb="2">
      <t>ショウヒン</t>
    </rPh>
    <phoneticPr fontId="2"/>
  </si>
  <si>
    <t>商品C(バリエーション2)</t>
    <rPh sb="0" eb="2">
      <t>ショウヒン</t>
    </rPh>
    <phoneticPr fontId="2"/>
  </si>
  <si>
    <t>商品C(バリエーション3)</t>
    <rPh sb="0" eb="2">
      <t>ショウヒン</t>
    </rPh>
    <phoneticPr fontId="2"/>
  </si>
  <si>
    <t>商品C(バリエーション4)</t>
    <rPh sb="0" eb="2">
      <t>ショウヒン</t>
    </rPh>
    <phoneticPr fontId="2"/>
  </si>
  <si>
    <t>商品G</t>
    <rPh sb="0" eb="2">
      <t>ショウヒン</t>
    </rPh>
    <phoneticPr fontId="2"/>
  </si>
  <si>
    <t>商品H</t>
    <rPh sb="0" eb="2">
      <t>ショウヒン</t>
    </rPh>
    <phoneticPr fontId="2"/>
  </si>
  <si>
    <t>商品I</t>
    <rPh sb="0" eb="2">
      <t>ショウヒン</t>
    </rPh>
    <phoneticPr fontId="2"/>
  </si>
  <si>
    <t>商品J</t>
    <rPh sb="0" eb="2">
      <t>ショウヒン</t>
    </rPh>
    <phoneticPr fontId="2"/>
  </si>
  <si>
    <t>商品K</t>
    <rPh sb="0" eb="2">
      <t>ショウヒン</t>
    </rPh>
    <phoneticPr fontId="2"/>
  </si>
  <si>
    <t>商品L</t>
    <rPh sb="0" eb="2">
      <t>ショウヒン</t>
    </rPh>
    <phoneticPr fontId="2"/>
  </si>
  <si>
    <t>商品M</t>
    <rPh sb="0" eb="2">
      <t>ショウヒン</t>
    </rPh>
    <phoneticPr fontId="2"/>
  </si>
  <si>
    <t>商品N</t>
    <rPh sb="0" eb="2">
      <t>ショウヒン</t>
    </rPh>
    <phoneticPr fontId="2"/>
  </si>
  <si>
    <t>商品O</t>
    <rPh sb="0" eb="2">
      <t>ショウヒン</t>
    </rPh>
    <phoneticPr fontId="2"/>
  </si>
  <si>
    <t>商品D</t>
    <rPh sb="0" eb="2">
      <t>ショウヒン</t>
    </rPh>
    <phoneticPr fontId="2"/>
  </si>
  <si>
    <t>商品P</t>
    <rPh sb="0" eb="2">
      <t>ショウヒン</t>
    </rPh>
    <phoneticPr fontId="2"/>
  </si>
  <si>
    <t>商品F</t>
    <rPh sb="0" eb="2">
      <t>ショウヒン</t>
    </rPh>
    <phoneticPr fontId="2"/>
  </si>
  <si>
    <t>商品E</t>
    <rPh sb="0" eb="2">
      <t>ショウヒン</t>
    </rPh>
    <phoneticPr fontId="2"/>
  </si>
  <si>
    <t>営業所A</t>
    <rPh sb="0" eb="3">
      <t>エイギョウショ</t>
    </rPh>
    <phoneticPr fontId="2"/>
  </si>
  <si>
    <t>営業所B</t>
    <rPh sb="0" eb="3">
      <t>エイギョウショ</t>
    </rPh>
    <phoneticPr fontId="2"/>
  </si>
  <si>
    <t>営業所C</t>
    <rPh sb="0" eb="3">
      <t>エイギョウショ</t>
    </rPh>
    <phoneticPr fontId="2"/>
  </si>
  <si>
    <t>営業所D</t>
    <rPh sb="0" eb="3">
      <t>エイギョウショ</t>
    </rPh>
    <phoneticPr fontId="2"/>
  </si>
  <si>
    <t>営業所E</t>
    <rPh sb="0" eb="3">
      <t>エイギョウショ</t>
    </rPh>
    <phoneticPr fontId="2"/>
  </si>
  <si>
    <t>販売表</t>
    <rPh sb="2" eb="3">
      <t>ヒョウ</t>
    </rPh>
    <phoneticPr fontId="2"/>
  </si>
  <si>
    <t>A換算数</t>
    <rPh sb="1" eb="3">
      <t>カンサン</t>
    </rPh>
    <rPh sb="3" eb="4">
      <t>スウ</t>
    </rPh>
    <phoneticPr fontId="2"/>
  </si>
  <si>
    <t>A箱数</t>
    <rPh sb="1" eb="3">
      <t>ハコスウ</t>
    </rPh>
    <phoneticPr fontId="2"/>
  </si>
  <si>
    <t>B換算数</t>
    <rPh sb="1" eb="3">
      <t>カンサン</t>
    </rPh>
    <rPh sb="3" eb="4">
      <t>スウ</t>
    </rPh>
    <phoneticPr fontId="2"/>
  </si>
  <si>
    <t>B箱数</t>
    <rPh sb="1" eb="3">
      <t>ハコスウ</t>
    </rPh>
    <phoneticPr fontId="2"/>
  </si>
  <si>
    <t>C換算数</t>
    <rPh sb="1" eb="3">
      <t>カンサン</t>
    </rPh>
    <rPh sb="3" eb="4">
      <t>スウ</t>
    </rPh>
    <phoneticPr fontId="2"/>
  </si>
  <si>
    <t>C箱数</t>
    <rPh sb="1" eb="3">
      <t>ハコスウ</t>
    </rPh>
    <phoneticPr fontId="2"/>
  </si>
  <si>
    <t>D換算数</t>
    <rPh sb="1" eb="3">
      <t>カンサン</t>
    </rPh>
    <rPh sb="3" eb="4">
      <t>スウ</t>
    </rPh>
    <phoneticPr fontId="2"/>
  </si>
  <si>
    <t>D箱数</t>
    <rPh sb="1" eb="3">
      <t>ハコスウ</t>
    </rPh>
    <phoneticPr fontId="2"/>
  </si>
  <si>
    <t>E換算数</t>
    <rPh sb="1" eb="3">
      <t>カンサン</t>
    </rPh>
    <rPh sb="3" eb="4">
      <t>スウ</t>
    </rPh>
    <phoneticPr fontId="2"/>
  </si>
  <si>
    <t>E箱数</t>
    <rPh sb="1" eb="3">
      <t>ハコスウ</t>
    </rPh>
    <phoneticPr fontId="2"/>
  </si>
  <si>
    <t>箱入り数表</t>
    <phoneticPr fontId="2"/>
  </si>
  <si>
    <t>A金額</t>
    <rPh sb="1" eb="3">
      <t>キンガク</t>
    </rPh>
    <phoneticPr fontId="2"/>
  </si>
  <si>
    <t>営業所B</t>
    <phoneticPr fontId="2"/>
  </si>
  <si>
    <t>営業所C</t>
    <phoneticPr fontId="2"/>
  </si>
  <si>
    <t>営業所E</t>
    <phoneticPr fontId="2"/>
  </si>
  <si>
    <t>B金額</t>
    <rPh sb="1" eb="3">
      <t>キンガク</t>
    </rPh>
    <phoneticPr fontId="2"/>
  </si>
  <si>
    <t>C金額</t>
    <phoneticPr fontId="2"/>
  </si>
  <si>
    <t>D金額</t>
    <phoneticPr fontId="2"/>
  </si>
  <si>
    <t>E金額</t>
    <rPh sb="1" eb="3">
      <t>キンガク</t>
    </rPh>
    <phoneticPr fontId="2"/>
  </si>
  <si>
    <t>A合計</t>
    <phoneticPr fontId="2"/>
  </si>
  <si>
    <t>B合計</t>
    <rPh sb="1" eb="3">
      <t>ゴウケイ</t>
    </rPh>
    <phoneticPr fontId="2"/>
  </si>
  <si>
    <t>C合計</t>
    <phoneticPr fontId="2"/>
  </si>
  <si>
    <t>D合計</t>
    <rPh sb="1" eb="3">
      <t>ゴウケイ</t>
    </rPh>
    <phoneticPr fontId="2"/>
  </si>
  <si>
    <t>E合計</t>
    <rPh sb="1" eb="3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</si>
</sst>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yyyy&quot;年&quot;m&quot;月&quot;d&quot;日&quot;\ \(aaa\)"/>
    <numFmt numFmtId="177" formatCode="yyyy&quot;年&quot;m&quot;月&quot;d&quot;日&quot;\(aaa\)"/>
    <numFmt numFmtId="178" formatCode="#,##0.0;[Red]\-#,##0.0"/>
  </numFmts>
  <fonts count="4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3"/>
      <name val="ＭＳ Ｐゴシック"/>
      <family val="3"/>
      <charset val="128"/>
    </font>
    <font>
      <sz val="15"/>
      <name val="ＭＳ Ｐゴシック"/>
      <family val="3"/>
      <charset val="128"/>
    </font>
    <font>
      <b/>
      <sz val="15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6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6"/>
      <name val="ＭＳ Ｐゴシック"/>
      <family val="3"/>
      <charset val="128"/>
    </font>
    <font>
      <sz val="28"/>
      <name val="ＭＳ Ｐゴシック"/>
      <family val="3"/>
      <charset val="128"/>
    </font>
    <font>
      <u/>
      <sz val="2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3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3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22"/>
      <name val="ＭＳ Ｐゴシック"/>
      <family val="3"/>
      <charset val="128"/>
    </font>
    <font>
      <sz val="24"/>
      <name val="ＭＳ Ｐゴシック"/>
      <family val="3"/>
      <charset val="128"/>
    </font>
    <font>
      <u/>
      <sz val="36"/>
      <name val="ＭＳ Ｐゴシック"/>
      <family val="3"/>
      <charset val="128"/>
    </font>
    <font>
      <b/>
      <sz val="26"/>
      <name val="ＭＳ Ｐゴシック"/>
      <family val="3"/>
      <charset val="128"/>
    </font>
    <font>
      <b/>
      <sz val="20"/>
      <color theme="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</font>
    <font>
      <sz val="13"/>
      <color theme="1"/>
      <name val="ＭＳ Ｐゴシック"/>
      <family val="3"/>
      <charset val="128"/>
    </font>
    <font>
      <b/>
      <sz val="13"/>
      <color rgb="FFFF0000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24"/>
      <color rgb="FF004F88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</font>
    <font>
      <b/>
      <sz val="26"/>
      <color rgb="FF212121"/>
      <name val="ＭＳ Ｐゴシック"/>
      <family val="3"/>
      <charset val="128"/>
    </font>
    <font>
      <b/>
      <sz val="24"/>
      <color rgb="FFFF0000"/>
      <name val="ＭＳ Ｐゴシック"/>
      <family val="3"/>
      <charset val="128"/>
    </font>
    <font>
      <sz val="24"/>
      <color rgb="FFFF0000"/>
      <name val="ＭＳ Ｐゴシック"/>
      <family val="3"/>
      <charset val="128"/>
    </font>
    <font>
      <b/>
      <sz val="22"/>
      <color rgb="FFFF0000"/>
      <name val="ＭＳ Ｐゴシック"/>
      <family val="3"/>
      <charset val="128"/>
      <scheme val="minor"/>
    </font>
    <font>
      <sz val="11"/>
      <name val="Carlito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5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F9E"/>
        <bgColor indexed="64"/>
      </patternFill>
    </fill>
    <fill>
      <patternFill patternType="solid">
        <fgColor theme="3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42" fillId="0" borderId="0"/>
    <xf numFmtId="0" fontId="42" fillId="0" borderId="0"/>
    <xf numFmtId="6" fontId="1" fillId="0" borderId="0" applyFont="0" applyFill="0" applyBorder="0" applyAlignment="0" applyProtection="0">
      <alignment vertical="center"/>
    </xf>
  </cellStyleXfs>
  <cellXfs count="328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38" fontId="5" fillId="0" borderId="0" xfId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1" xfId="0" applyBorder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" fillId="0" borderId="0" xfId="0" applyFont="1">
      <alignment vertical="center"/>
    </xf>
    <xf numFmtId="0" fontId="19" fillId="0" borderId="0" xfId="0" applyFont="1" applyAlignment="1">
      <alignment vertical="center" shrinkToFit="1"/>
    </xf>
    <xf numFmtId="0" fontId="15" fillId="0" borderId="6" xfId="0" applyFont="1" applyBorder="1" applyAlignment="1">
      <alignment horizontal="left" vertical="center"/>
    </xf>
    <xf numFmtId="56" fontId="15" fillId="0" borderId="6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3" borderId="0" xfId="0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shrinkToFit="1"/>
    </xf>
    <xf numFmtId="0" fontId="28" fillId="3" borderId="4" xfId="0" applyFont="1" applyFill="1" applyBorder="1" applyAlignment="1">
      <alignment vertical="center" shrinkToFit="1"/>
    </xf>
    <xf numFmtId="0" fontId="28" fillId="3" borderId="5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8" fillId="2" borderId="4" xfId="0" applyFont="1" applyFill="1" applyBorder="1" applyAlignment="1">
      <alignment vertical="center" shrinkToFit="1"/>
    </xf>
    <xf numFmtId="0" fontId="28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5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vertical="center" shrinkToFit="1"/>
    </xf>
    <xf numFmtId="38" fontId="5" fillId="3" borderId="0" xfId="0" applyNumberFormat="1" applyFont="1" applyFill="1" applyAlignment="1">
      <alignment horizontal="center" vertical="center"/>
    </xf>
    <xf numFmtId="38" fontId="0" fillId="3" borderId="0" xfId="0" applyNumberFormat="1" applyFill="1">
      <alignment vertical="center"/>
    </xf>
    <xf numFmtId="0" fontId="0" fillId="2" borderId="1" xfId="0" applyFill="1" applyBorder="1">
      <alignment vertical="center"/>
    </xf>
    <xf numFmtId="5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horizontal="center" vertical="center"/>
    </xf>
    <xf numFmtId="0" fontId="0" fillId="9" borderId="0" xfId="0" applyFill="1">
      <alignment vertical="center"/>
    </xf>
    <xf numFmtId="0" fontId="5" fillId="9" borderId="1" xfId="0" applyFont="1" applyFill="1" applyBorder="1">
      <alignment vertical="center"/>
    </xf>
    <xf numFmtId="0" fontId="14" fillId="0" borderId="20" xfId="0" applyFont="1" applyBorder="1" applyAlignment="1">
      <alignment horizontal="center" vertical="center"/>
    </xf>
    <xf numFmtId="176" fontId="9" fillId="0" borderId="0" xfId="0" applyNumberFormat="1" applyFont="1">
      <alignment vertical="center"/>
    </xf>
    <xf numFmtId="0" fontId="14" fillId="4" borderId="22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0" fillId="0" borderId="6" xfId="0" applyBorder="1">
      <alignment vertical="center"/>
    </xf>
    <xf numFmtId="0" fontId="5" fillId="0" borderId="26" xfId="0" applyFont="1" applyBorder="1">
      <alignment vertical="center"/>
    </xf>
    <xf numFmtId="0" fontId="0" fillId="0" borderId="1" xfId="0" applyBorder="1" applyAlignment="1">
      <alignment horizontal="center" vertical="center"/>
    </xf>
    <xf numFmtId="38" fontId="5" fillId="0" borderId="1" xfId="1" applyFont="1" applyBorder="1" applyAlignment="1">
      <alignment horizontal="right" vertical="center"/>
    </xf>
    <xf numFmtId="38" fontId="3" fillId="0" borderId="1" xfId="1" applyFont="1" applyBorder="1" applyAlignment="1">
      <alignment horizontal="center" vertical="center"/>
    </xf>
    <xf numFmtId="38" fontId="3" fillId="0" borderId="1" xfId="1" applyFont="1" applyFill="1" applyBorder="1" applyAlignment="1">
      <alignment horizontal="center" vertical="center"/>
    </xf>
    <xf numFmtId="38" fontId="3" fillId="0" borderId="1" xfId="0" applyNumberFormat="1" applyFont="1" applyBorder="1">
      <alignment vertical="center"/>
    </xf>
    <xf numFmtId="177" fontId="17" fillId="0" borderId="0" xfId="0" applyNumberFormat="1" applyFont="1">
      <alignment vertical="center"/>
    </xf>
    <xf numFmtId="38" fontId="0" fillId="0" borderId="1" xfId="0" applyNumberFormat="1" applyBorder="1">
      <alignment vertical="center"/>
    </xf>
    <xf numFmtId="0" fontId="0" fillId="13" borderId="19" xfId="0" applyFill="1" applyBorder="1" applyAlignment="1">
      <alignment horizontal="center" vertical="center"/>
    </xf>
    <xf numFmtId="0" fontId="0" fillId="13" borderId="21" xfId="0" applyFill="1" applyBorder="1">
      <alignment vertical="center"/>
    </xf>
    <xf numFmtId="0" fontId="0" fillId="0" borderId="0" xfId="0" applyAlignment="1">
      <alignment horizontal="center" vertical="center"/>
    </xf>
    <xf numFmtId="38" fontId="0" fillId="0" borderId="0" xfId="0" applyNumberFormat="1">
      <alignment vertical="center"/>
    </xf>
    <xf numFmtId="176" fontId="9" fillId="0" borderId="0" xfId="0" applyNumberFormat="1" applyFont="1" applyAlignment="1">
      <alignment horizontal="right" vertical="center"/>
    </xf>
    <xf numFmtId="14" fontId="0" fillId="0" borderId="27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vertical="center" shrinkToFit="1"/>
    </xf>
    <xf numFmtId="0" fontId="8" fillId="0" borderId="4" xfId="0" applyFont="1" applyBorder="1" applyAlignment="1">
      <alignment vertical="center" shrinkToFit="1"/>
    </xf>
    <xf numFmtId="0" fontId="5" fillId="0" borderId="4" xfId="0" applyFont="1" applyBorder="1" applyAlignment="1">
      <alignment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38" fontId="5" fillId="0" borderId="3" xfId="1" applyFont="1" applyBorder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38" fontId="0" fillId="0" borderId="0" xfId="1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6" fillId="2" borderId="1" xfId="0" applyFont="1" applyFill="1" applyBorder="1" applyAlignment="1">
      <alignment vertical="center" shrinkToFit="1"/>
    </xf>
    <xf numFmtId="0" fontId="19" fillId="2" borderId="1" xfId="0" applyFont="1" applyFill="1" applyBorder="1">
      <alignment vertical="center"/>
    </xf>
    <xf numFmtId="38" fontId="5" fillId="2" borderId="0" xfId="0" applyNumberFormat="1" applyFont="1" applyFill="1" applyAlignment="1">
      <alignment horizontal="center" vertical="center"/>
    </xf>
    <xf numFmtId="0" fontId="0" fillId="2" borderId="9" xfId="0" applyFill="1" applyBorder="1">
      <alignment vertical="center"/>
    </xf>
    <xf numFmtId="38" fontId="5" fillId="2" borderId="9" xfId="0" applyNumberFormat="1" applyFont="1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7" xfId="0" applyFill="1" applyBorder="1">
      <alignment vertical="center"/>
    </xf>
    <xf numFmtId="38" fontId="5" fillId="3" borderId="7" xfId="0" applyNumberFormat="1" applyFont="1" applyFill="1" applyBorder="1" applyAlignment="1">
      <alignment horizontal="center" vertical="center"/>
    </xf>
    <xf numFmtId="0" fontId="0" fillId="3" borderId="14" xfId="0" applyFill="1" applyBorder="1">
      <alignment vertical="center"/>
    </xf>
    <xf numFmtId="0" fontId="0" fillId="2" borderId="12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38" fontId="8" fillId="2" borderId="0" xfId="0" applyNumberFormat="1" applyFont="1" applyFill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shrinkToFit="1"/>
    </xf>
    <xf numFmtId="0" fontId="4" fillId="3" borderId="4" xfId="0" applyFont="1" applyFill="1" applyBorder="1" applyAlignment="1">
      <alignment vertical="center" shrinkToFit="1"/>
    </xf>
    <xf numFmtId="0" fontId="14" fillId="5" borderId="31" xfId="0" applyFont="1" applyFill="1" applyBorder="1" applyAlignment="1">
      <alignment horizontal="center" vertical="center"/>
    </xf>
    <xf numFmtId="38" fontId="14" fillId="2" borderId="23" xfId="0" applyNumberFormat="1" applyFont="1" applyFill="1" applyBorder="1" applyAlignment="1">
      <alignment horizontal="center" vertical="center"/>
    </xf>
    <xf numFmtId="0" fontId="9" fillId="2" borderId="1" xfId="0" applyFont="1" applyFill="1" applyBorder="1">
      <alignment vertical="center"/>
    </xf>
    <xf numFmtId="0" fontId="19" fillId="2" borderId="1" xfId="0" applyFont="1" applyFill="1" applyBorder="1" applyAlignment="1">
      <alignment vertical="center" shrinkToFit="1"/>
    </xf>
    <xf numFmtId="0" fontId="35" fillId="2" borderId="1" xfId="0" applyFont="1" applyFill="1" applyBorder="1">
      <alignment vertical="center"/>
    </xf>
    <xf numFmtId="0" fontId="36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56" fontId="0" fillId="0" borderId="0" xfId="0" applyNumberFormat="1">
      <alignment vertical="center"/>
    </xf>
    <xf numFmtId="56" fontId="0" fillId="3" borderId="0" xfId="0" applyNumberFormat="1" applyFill="1">
      <alignment vertical="center"/>
    </xf>
    <xf numFmtId="56" fontId="4" fillId="0" borderId="34" xfId="0" applyNumberFormat="1" applyFont="1" applyBorder="1">
      <alignment vertical="center"/>
    </xf>
    <xf numFmtId="20" fontId="4" fillId="0" borderId="34" xfId="0" applyNumberFormat="1" applyFont="1" applyBorder="1">
      <alignment vertical="center"/>
    </xf>
    <xf numFmtId="0" fontId="5" fillId="15" borderId="4" xfId="0" applyFont="1" applyFill="1" applyBorder="1" applyAlignment="1">
      <alignment vertical="center" shrinkToFit="1"/>
    </xf>
    <xf numFmtId="0" fontId="5" fillId="15" borderId="2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34" fillId="15" borderId="5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vertical="center" shrinkToFit="1"/>
    </xf>
    <xf numFmtId="0" fontId="5" fillId="16" borderId="2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34" fillId="16" borderId="5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vertical="center" shrinkToFit="1"/>
    </xf>
    <xf numFmtId="0" fontId="5" fillId="0" borderId="16" xfId="0" applyFont="1" applyBorder="1" applyAlignment="1">
      <alignment vertical="center" shrinkToFit="1"/>
    </xf>
    <xf numFmtId="38" fontId="37" fillId="0" borderId="37" xfId="1" applyFont="1" applyBorder="1" applyAlignment="1">
      <alignment horizontal="center" vertical="center"/>
    </xf>
    <xf numFmtId="0" fontId="38" fillId="5" borderId="5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/>
    </xf>
    <xf numFmtId="0" fontId="39" fillId="2" borderId="1" xfId="0" applyFont="1" applyFill="1" applyBorder="1">
      <alignment vertical="center"/>
    </xf>
    <xf numFmtId="0" fontId="40" fillId="2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0" fillId="0" borderId="38" xfId="0" applyBorder="1">
      <alignment vertical="center"/>
    </xf>
    <xf numFmtId="0" fontId="14" fillId="0" borderId="39" xfId="0" applyFont="1" applyBorder="1" applyAlignment="1">
      <alignment horizontal="center" vertical="center"/>
    </xf>
    <xf numFmtId="0" fontId="14" fillId="5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33" fillId="0" borderId="1" xfId="0" applyFont="1" applyBorder="1">
      <alignment vertical="center"/>
    </xf>
    <xf numFmtId="178" fontId="0" fillId="0" borderId="1" xfId="0" applyNumberForma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/>
    </xf>
    <xf numFmtId="0" fontId="5" fillId="20" borderId="1" xfId="0" applyFont="1" applyFill="1" applyBorder="1">
      <alignment vertical="center"/>
    </xf>
    <xf numFmtId="0" fontId="5" fillId="19" borderId="4" xfId="0" applyFont="1" applyFill="1" applyBorder="1" applyAlignment="1">
      <alignment vertical="center" shrinkToFit="1"/>
    </xf>
    <xf numFmtId="38" fontId="14" fillId="19" borderId="23" xfId="0" applyNumberFormat="1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34" fillId="19" borderId="5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 shrinkToFit="1"/>
    </xf>
    <xf numFmtId="14" fontId="41" fillId="0" borderId="0" xfId="0" applyNumberFormat="1" applyFont="1" applyAlignment="1">
      <alignment horizontal="right" vertical="center"/>
    </xf>
    <xf numFmtId="38" fontId="5" fillId="9" borderId="1" xfId="1" applyFont="1" applyFill="1" applyBorder="1" applyAlignment="1">
      <alignment horizontal="center" vertical="center"/>
    </xf>
    <xf numFmtId="38" fontId="18" fillId="2" borderId="1" xfId="0" applyNumberFormat="1" applyFont="1" applyFill="1" applyBorder="1" applyAlignment="1">
      <alignment horizontal="center" vertical="center"/>
    </xf>
    <xf numFmtId="38" fontId="18" fillId="3" borderId="1" xfId="0" applyNumberFormat="1" applyFont="1" applyFill="1" applyBorder="1" applyAlignment="1">
      <alignment horizontal="center" vertical="center"/>
    </xf>
    <xf numFmtId="38" fontId="18" fillId="2" borderId="33" xfId="0" applyNumberFormat="1" applyFont="1" applyFill="1" applyBorder="1" applyAlignment="1">
      <alignment horizontal="center" vertical="center"/>
    </xf>
    <xf numFmtId="38" fontId="18" fillId="3" borderId="33" xfId="0" applyNumberFormat="1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shrinkToFit="1"/>
    </xf>
    <xf numFmtId="0" fontId="18" fillId="19" borderId="12" xfId="0" applyFont="1" applyFill="1" applyBorder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  <xf numFmtId="0" fontId="0" fillId="19" borderId="0" xfId="0" applyFill="1">
      <alignment vertical="center"/>
    </xf>
    <xf numFmtId="38" fontId="3" fillId="5" borderId="1" xfId="1" applyFont="1" applyFill="1" applyBorder="1" applyAlignment="1">
      <alignment horizontal="center" vertical="center"/>
    </xf>
    <xf numFmtId="38" fontId="3" fillId="4" borderId="1" xfId="1" applyFont="1" applyFill="1" applyBorder="1" applyAlignment="1">
      <alignment horizontal="center" vertical="center"/>
    </xf>
    <xf numFmtId="38" fontId="3" fillId="18" borderId="1" xfId="1" applyFont="1" applyFill="1" applyBorder="1" applyAlignment="1">
      <alignment horizontal="center" vertical="center"/>
    </xf>
    <xf numFmtId="38" fontId="3" fillId="17" borderId="1" xfId="1" applyFont="1" applyFill="1" applyBorder="1" applyAlignment="1">
      <alignment horizontal="center" vertical="center"/>
    </xf>
    <xf numFmtId="38" fontId="5" fillId="20" borderId="1" xfId="1" applyFont="1" applyFill="1" applyBorder="1" applyAlignment="1">
      <alignment horizontal="center" vertical="center"/>
    </xf>
    <xf numFmtId="38" fontId="5" fillId="20" borderId="1" xfId="1" applyFont="1" applyFill="1" applyBorder="1" applyAlignment="1">
      <alignment horizontal="right" vertical="center"/>
    </xf>
    <xf numFmtId="38" fontId="5" fillId="0" borderId="2" xfId="0" applyNumberFormat="1" applyFont="1" applyBorder="1" applyAlignment="1">
      <alignment horizontal="right" vertical="center"/>
    </xf>
    <xf numFmtId="38" fontId="5" fillId="20" borderId="2" xfId="0" applyNumberFormat="1" applyFont="1" applyFill="1" applyBorder="1" applyAlignment="1">
      <alignment horizontal="right" vertical="center"/>
    </xf>
    <xf numFmtId="0" fontId="0" fillId="1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8" fontId="14" fillId="15" borderId="23" xfId="0" applyNumberFormat="1" applyFont="1" applyFill="1" applyBorder="1" applyAlignment="1">
      <alignment horizontal="center" vertical="center"/>
    </xf>
    <xf numFmtId="38" fontId="14" fillId="16" borderId="23" xfId="0" applyNumberFormat="1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 shrinkToFit="1"/>
    </xf>
    <xf numFmtId="20" fontId="25" fillId="0" borderId="0" xfId="0" applyNumberFormat="1" applyFont="1" applyAlignment="1">
      <alignment vertical="center" shrinkToFit="1"/>
    </xf>
    <xf numFmtId="0" fontId="14" fillId="11" borderId="40" xfId="0" applyFont="1" applyFill="1" applyBorder="1" applyAlignment="1">
      <alignment horizontal="center" vertical="center"/>
    </xf>
    <xf numFmtId="0" fontId="18" fillId="0" borderId="41" xfId="0" applyFont="1" applyBorder="1" applyAlignment="1">
      <alignment vertical="center" shrinkToFit="1"/>
    </xf>
    <xf numFmtId="0" fontId="18" fillId="3" borderId="41" xfId="0" applyFont="1" applyFill="1" applyBorder="1" applyAlignment="1">
      <alignment vertical="center" shrinkToFit="1"/>
    </xf>
    <xf numFmtId="0" fontId="18" fillId="0" borderId="42" xfId="0" applyFont="1" applyBorder="1" applyAlignment="1">
      <alignment vertical="center" shrinkToFit="1"/>
    </xf>
    <xf numFmtId="0" fontId="18" fillId="3" borderId="42" xfId="0" applyFont="1" applyFill="1" applyBorder="1" applyAlignment="1">
      <alignment vertical="center" shrinkToFit="1"/>
    </xf>
    <xf numFmtId="0" fontId="18" fillId="2" borderId="42" xfId="0" applyFont="1" applyFill="1" applyBorder="1" applyAlignment="1">
      <alignment vertical="center" shrinkToFit="1"/>
    </xf>
    <xf numFmtId="0" fontId="17" fillId="3" borderId="41" xfId="0" applyFont="1" applyFill="1" applyBorder="1" applyAlignment="1">
      <alignment vertical="center" shrinkToFit="1"/>
    </xf>
    <xf numFmtId="0" fontId="18" fillId="3" borderId="41" xfId="0" applyFont="1" applyFill="1" applyBorder="1">
      <alignment vertical="center"/>
    </xf>
    <xf numFmtId="0" fontId="21" fillId="3" borderId="11" xfId="0" applyFont="1" applyFill="1" applyBorder="1">
      <alignment vertical="center"/>
    </xf>
    <xf numFmtId="0" fontId="20" fillId="0" borderId="42" xfId="0" applyFont="1" applyBorder="1">
      <alignment vertical="center"/>
    </xf>
    <xf numFmtId="0" fontId="18" fillId="2" borderId="41" xfId="0" applyFont="1" applyFill="1" applyBorder="1" applyAlignment="1">
      <alignment vertical="center" shrinkToFit="1"/>
    </xf>
    <xf numFmtId="0" fontId="5" fillId="0" borderId="41" xfId="0" applyFont="1" applyBorder="1" applyAlignment="1">
      <alignment vertical="center" shrinkToFit="1"/>
    </xf>
    <xf numFmtId="0" fontId="5" fillId="2" borderId="44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vertical="center" shrinkToFit="1"/>
    </xf>
    <xf numFmtId="0" fontId="5" fillId="3" borderId="44" xfId="0" applyFont="1" applyFill="1" applyBorder="1" applyAlignment="1">
      <alignment horizontal="center" vertical="center"/>
    </xf>
    <xf numFmtId="0" fontId="5" fillId="14" borderId="41" xfId="0" applyFont="1" applyFill="1" applyBorder="1" applyAlignment="1">
      <alignment vertical="center" shrinkToFit="1"/>
    </xf>
    <xf numFmtId="0" fontId="0" fillId="0" borderId="45" xfId="0" applyBorder="1">
      <alignment vertical="center"/>
    </xf>
    <xf numFmtId="0" fontId="7" fillId="0" borderId="46" xfId="0" applyFont="1" applyBorder="1">
      <alignment vertical="center"/>
    </xf>
    <xf numFmtId="0" fontId="18" fillId="3" borderId="47" xfId="0" applyFont="1" applyFill="1" applyBorder="1" applyAlignment="1">
      <alignment vertical="center" shrinkToFit="1"/>
    </xf>
    <xf numFmtId="38" fontId="18" fillId="3" borderId="48" xfId="0" applyNumberFormat="1" applyFont="1" applyFill="1" applyBorder="1" applyAlignment="1">
      <alignment horizontal="center" vertical="center"/>
    </xf>
    <xf numFmtId="0" fontId="18" fillId="0" borderId="47" xfId="0" applyFont="1" applyBorder="1" applyAlignment="1">
      <alignment vertical="center" shrinkToFit="1"/>
    </xf>
    <xf numFmtId="38" fontId="18" fillId="2" borderId="48" xfId="0" applyNumberFormat="1" applyFont="1" applyFill="1" applyBorder="1" applyAlignment="1">
      <alignment horizontal="center" vertical="center"/>
    </xf>
    <xf numFmtId="38" fontId="18" fillId="3" borderId="4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38" fontId="18" fillId="2" borderId="46" xfId="0" applyNumberFormat="1" applyFont="1" applyFill="1" applyBorder="1" applyAlignment="1">
      <alignment horizontal="center" vertical="center"/>
    </xf>
    <xf numFmtId="0" fontId="5" fillId="0" borderId="43" xfId="0" applyFont="1" applyBorder="1" applyAlignment="1">
      <alignment vertical="center" shrinkToFit="1"/>
    </xf>
    <xf numFmtId="0" fontId="5" fillId="2" borderId="17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18" fillId="3" borderId="45" xfId="0" applyFont="1" applyFill="1" applyBorder="1" applyAlignment="1">
      <alignment vertical="center" shrinkToFit="1"/>
    </xf>
    <xf numFmtId="0" fontId="14" fillId="11" borderId="10" xfId="0" applyFont="1" applyFill="1" applyBorder="1" applyAlignment="1">
      <alignment horizontal="center" vertical="center"/>
    </xf>
    <xf numFmtId="0" fontId="14" fillId="10" borderId="4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44" xfId="0" applyFont="1" applyFill="1" applyBorder="1" applyAlignment="1">
      <alignment horizontal="center"/>
    </xf>
    <xf numFmtId="0" fontId="5" fillId="3" borderId="48" xfId="0" applyFont="1" applyFill="1" applyBorder="1" applyAlignment="1">
      <alignment horizontal="center"/>
    </xf>
    <xf numFmtId="0" fontId="5" fillId="3" borderId="50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/>
    </xf>
    <xf numFmtId="0" fontId="5" fillId="3" borderId="49" xfId="0" applyFont="1" applyFill="1" applyBorder="1" applyAlignment="1">
      <alignment horizontal="center"/>
    </xf>
    <xf numFmtId="0" fontId="19" fillId="0" borderId="1" xfId="0" applyFont="1" applyBorder="1">
      <alignment vertical="center"/>
    </xf>
    <xf numFmtId="6" fontId="0" fillId="0" borderId="0" xfId="4" applyFont="1">
      <alignment vertical="center"/>
    </xf>
    <xf numFmtId="38" fontId="5" fillId="0" borderId="1" xfId="1" applyFont="1" applyFill="1" applyBorder="1" applyAlignment="1">
      <alignment horizontal="right" vertical="center"/>
    </xf>
    <xf numFmtId="0" fontId="20" fillId="0" borderId="6" xfId="0" applyFont="1" applyBorder="1" applyAlignment="1">
      <alignment horizontal="center" vertical="center"/>
    </xf>
    <xf numFmtId="6" fontId="20" fillId="0" borderId="6" xfId="4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0" fillId="20" borderId="1" xfId="0" applyFill="1" applyBorder="1">
      <alignment vertical="center"/>
    </xf>
    <xf numFmtId="0" fontId="0" fillId="9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178" fontId="0" fillId="0" borderId="0" xfId="0" applyNumberFormat="1">
      <alignment vertical="center"/>
    </xf>
    <xf numFmtId="0" fontId="20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38" fontId="14" fillId="2" borderId="52" xfId="0" applyNumberFormat="1" applyFont="1" applyFill="1" applyBorder="1" applyAlignment="1">
      <alignment horizontal="center" vertical="center"/>
    </xf>
    <xf numFmtId="38" fontId="37" fillId="0" borderId="22" xfId="1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shrinkToFit="1"/>
    </xf>
    <xf numFmtId="0" fontId="5" fillId="2" borderId="41" xfId="0" applyFont="1" applyFill="1" applyBorder="1" applyAlignment="1">
      <alignment vertical="center" shrinkToFit="1"/>
    </xf>
    <xf numFmtId="0" fontId="23" fillId="2" borderId="44" xfId="0" applyFont="1" applyFill="1" applyBorder="1" applyAlignment="1">
      <alignment horizontal="center" vertical="center"/>
    </xf>
    <xf numFmtId="0" fontId="5" fillId="19" borderId="41" xfId="0" applyFont="1" applyFill="1" applyBorder="1" applyAlignment="1">
      <alignment vertical="center" shrinkToFit="1"/>
    </xf>
    <xf numFmtId="0" fontId="23" fillId="19" borderId="44" xfId="0" applyFont="1" applyFill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0" fillId="2" borderId="41" xfId="0" applyFill="1" applyBorder="1">
      <alignment vertical="center"/>
    </xf>
    <xf numFmtId="0" fontId="32" fillId="2" borderId="44" xfId="0" applyFont="1" applyFill="1" applyBorder="1" applyAlignment="1">
      <alignment horizontal="center" vertical="center"/>
    </xf>
    <xf numFmtId="0" fontId="0" fillId="0" borderId="41" xfId="0" applyBorder="1">
      <alignment vertical="center"/>
    </xf>
    <xf numFmtId="0" fontId="5" fillId="19" borderId="53" xfId="0" applyFont="1" applyFill="1" applyBorder="1" applyAlignment="1">
      <alignment vertical="center" shrinkToFit="1"/>
    </xf>
    <xf numFmtId="0" fontId="23" fillId="19" borderId="54" xfId="0" applyFont="1" applyFill="1" applyBorder="1" applyAlignment="1">
      <alignment horizontal="center" vertical="center"/>
    </xf>
    <xf numFmtId="0" fontId="3" fillId="0" borderId="41" xfId="0" applyFont="1" applyBorder="1">
      <alignment vertical="center"/>
    </xf>
    <xf numFmtId="0" fontId="5" fillId="2" borderId="55" xfId="0" applyFont="1" applyFill="1" applyBorder="1" applyAlignment="1">
      <alignment vertical="center" shrinkToFit="1"/>
    </xf>
    <xf numFmtId="0" fontId="23" fillId="2" borderId="56" xfId="0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5" fillId="14" borderId="55" xfId="0" applyFont="1" applyFill="1" applyBorder="1" applyAlignment="1">
      <alignment vertical="center" shrinkToFit="1"/>
    </xf>
    <xf numFmtId="38" fontId="5" fillId="14" borderId="15" xfId="1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0" fontId="5" fillId="14" borderId="56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38" fontId="9" fillId="2" borderId="22" xfId="1" applyFont="1" applyFill="1" applyBorder="1" applyAlignment="1">
      <alignment horizontal="center" vertical="center"/>
    </xf>
    <xf numFmtId="38" fontId="0" fillId="0" borderId="15" xfId="0" applyNumberFormat="1" applyBorder="1">
      <alignment vertical="center"/>
    </xf>
    <xf numFmtId="0" fontId="5" fillId="0" borderId="15" xfId="0" applyFont="1" applyBorder="1">
      <alignment vertical="center"/>
    </xf>
    <xf numFmtId="0" fontId="5" fillId="9" borderId="15" xfId="0" applyFont="1" applyFill="1" applyBorder="1" applyAlignment="1">
      <alignment horizontal="center" vertical="center"/>
    </xf>
    <xf numFmtId="38" fontId="5" fillId="0" borderId="15" xfId="1" applyFont="1" applyBorder="1" applyAlignment="1">
      <alignment horizontal="right" vertical="center"/>
    </xf>
    <xf numFmtId="38" fontId="5" fillId="9" borderId="15" xfId="1" applyFont="1" applyFill="1" applyBorder="1" applyAlignment="1">
      <alignment horizontal="center" vertical="center"/>
    </xf>
    <xf numFmtId="38" fontId="5" fillId="0" borderId="24" xfId="0" applyNumberFormat="1" applyFont="1" applyBorder="1" applyAlignment="1">
      <alignment horizontal="right" vertical="center"/>
    </xf>
    <xf numFmtId="0" fontId="0" fillId="2" borderId="15" xfId="0" applyFill="1" applyBorder="1">
      <alignment vertical="center"/>
    </xf>
    <xf numFmtId="0" fontId="0" fillId="0" borderId="15" xfId="0" applyBorder="1">
      <alignment vertical="center"/>
    </xf>
    <xf numFmtId="0" fontId="5" fillId="0" borderId="60" xfId="0" applyFont="1" applyBorder="1">
      <alignment vertical="center"/>
    </xf>
    <xf numFmtId="0" fontId="8" fillId="0" borderId="60" xfId="0" applyFont="1" applyBorder="1">
      <alignment vertical="center"/>
    </xf>
    <xf numFmtId="0" fontId="0" fillId="0" borderId="17" xfId="0" applyBorder="1">
      <alignment vertical="center"/>
    </xf>
    <xf numFmtId="0" fontId="5" fillId="0" borderId="61" xfId="0" applyFont="1" applyBorder="1" applyAlignment="1">
      <alignment horizontal="left" vertical="center"/>
    </xf>
    <xf numFmtId="0" fontId="0" fillId="0" borderId="62" xfId="0" applyBorder="1">
      <alignment vertical="center"/>
    </xf>
    <xf numFmtId="38" fontId="5" fillId="0" borderId="62" xfId="1" applyFont="1" applyBorder="1" applyAlignment="1">
      <alignment horizontal="center" vertical="center"/>
    </xf>
    <xf numFmtId="38" fontId="5" fillId="0" borderId="63" xfId="1" applyFont="1" applyBorder="1" applyAlignment="1">
      <alignment horizontal="center" vertical="center"/>
    </xf>
    <xf numFmtId="38" fontId="5" fillId="0" borderId="62" xfId="1" applyFont="1" applyBorder="1" applyAlignment="1">
      <alignment horizontal="right" vertical="center"/>
    </xf>
    <xf numFmtId="0" fontId="0" fillId="0" borderId="40" xfId="0" applyBorder="1">
      <alignment vertical="center"/>
    </xf>
    <xf numFmtId="38" fontId="5" fillId="0" borderId="1" xfId="0" applyNumberFormat="1" applyFont="1" applyBorder="1">
      <alignment vertical="center"/>
    </xf>
    <xf numFmtId="38" fontId="18" fillId="2" borderId="17" xfId="0" applyNumberFormat="1" applyFont="1" applyFill="1" applyBorder="1" applyAlignment="1">
      <alignment horizontal="center" vertical="center"/>
    </xf>
    <xf numFmtId="38" fontId="18" fillId="14" borderId="1" xfId="0" applyNumberFormat="1" applyFont="1" applyFill="1" applyBorder="1" applyAlignment="1">
      <alignment horizontal="center" vertical="center"/>
    </xf>
    <xf numFmtId="38" fontId="18" fillId="0" borderId="1" xfId="0" applyNumberFormat="1" applyFont="1" applyBorder="1" applyAlignment="1">
      <alignment horizontal="center" vertical="center"/>
    </xf>
    <xf numFmtId="38" fontId="18" fillId="14" borderId="15" xfId="0" applyNumberFormat="1" applyFont="1" applyFill="1" applyBorder="1" applyAlignment="1">
      <alignment horizontal="center" vertical="center"/>
    </xf>
    <xf numFmtId="20" fontId="25" fillId="0" borderId="0" xfId="0" applyNumberFormat="1" applyFont="1" applyAlignment="1">
      <alignment vertical="center" shrinkToFit="1"/>
    </xf>
    <xf numFmtId="0" fontId="0" fillId="2" borderId="0" xfId="0" applyFill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 shrinkToFit="1"/>
    </xf>
    <xf numFmtId="20" fontId="4" fillId="0" borderId="29" xfId="0" applyNumberFormat="1" applyFont="1" applyBorder="1" applyAlignment="1">
      <alignment horizontal="center" vertical="center" shrinkToFit="1"/>
    </xf>
    <xf numFmtId="20" fontId="4" fillId="0" borderId="30" xfId="0" applyNumberFormat="1" applyFont="1" applyBorder="1" applyAlignment="1">
      <alignment horizontal="center" vertical="center" shrinkToFit="1"/>
    </xf>
    <xf numFmtId="20" fontId="20" fillId="0" borderId="0" xfId="0" applyNumberFormat="1" applyFont="1" applyAlignment="1">
      <alignment horizontal="center" vertical="center" wrapText="1" shrinkToFit="1"/>
    </xf>
    <xf numFmtId="0" fontId="15" fillId="0" borderId="0" xfId="0" applyFont="1" applyAlignment="1">
      <alignment horizontal="left" vertical="center"/>
    </xf>
    <xf numFmtId="56" fontId="15" fillId="0" borderId="0" xfId="0" applyNumberFormat="1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0" fillId="18" borderId="25" xfId="0" applyFill="1" applyBorder="1" applyAlignment="1">
      <alignment horizontal="center" vertical="center"/>
    </xf>
  </cellXfs>
  <cellStyles count="5">
    <cellStyle name="Normal" xfId="2" xr:uid="{42B6EE4B-BF18-400D-AF4F-C68239F0358E}"/>
    <cellStyle name="桁区切り" xfId="1" builtinId="6"/>
    <cellStyle name="通貨" xfId="4" builtinId="7"/>
    <cellStyle name="標準" xfId="0" builtinId="0"/>
    <cellStyle name="標準 2" xfId="3" xr:uid="{EF56AA8C-E00B-417E-BFBD-E36DA3AE119F}"/>
  </cellStyles>
  <dxfs count="0"/>
  <tableStyles count="0" defaultTableStyle="TableStyleMedium9" defaultPivotStyle="PivotStyleLight16"/>
  <colors>
    <mruColors>
      <color rgb="FFFFCCFF"/>
      <color rgb="FFFCEF9E"/>
      <color rgb="FFCCFFCC"/>
      <color rgb="FFFCE19E"/>
      <color rgb="FFFF99CC"/>
      <color rgb="FFCCFF33"/>
      <color rgb="FF00CC00"/>
      <color rgb="FF00FF99"/>
      <color rgb="FF66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07D2-5F69-4123-84EC-BB3D81CC1536}">
  <dimension ref="A1:H20"/>
  <sheetViews>
    <sheetView tabSelected="1" workbookViewId="0"/>
  </sheetViews>
  <sheetFormatPr defaultRowHeight="13.5"/>
  <cols>
    <col min="2" max="2" width="27" bestFit="1" customWidth="1"/>
    <col min="3" max="3" width="9.375" style="245" customWidth="1"/>
    <col min="4" max="4" width="14.125" style="245" bestFit="1" customWidth="1"/>
    <col min="5" max="5" width="16.875" bestFit="1" customWidth="1"/>
    <col min="6" max="6" width="13.375" bestFit="1" customWidth="1"/>
    <col min="7" max="7" width="11" bestFit="1" customWidth="1"/>
  </cols>
  <sheetData>
    <row r="1" spans="1:8" s="67" customFormat="1">
      <c r="A1" s="247" t="s">
        <v>52</v>
      </c>
      <c r="B1" s="247" t="s">
        <v>51</v>
      </c>
      <c r="C1" s="248" t="s">
        <v>11</v>
      </c>
      <c r="D1" s="248" t="s">
        <v>54</v>
      </c>
      <c r="E1" s="247" t="s">
        <v>50</v>
      </c>
      <c r="F1" s="247" t="s">
        <v>49</v>
      </c>
      <c r="G1" s="247" t="s">
        <v>55</v>
      </c>
      <c r="H1" s="247" t="s">
        <v>56</v>
      </c>
    </row>
    <row r="2" spans="1:8">
      <c r="A2">
        <v>1</v>
      </c>
      <c r="B2" t="s">
        <v>57</v>
      </c>
      <c r="C2" s="245">
        <v>155</v>
      </c>
      <c r="D2" s="245">
        <v>91.339999999999989</v>
      </c>
      <c r="E2">
        <v>7</v>
      </c>
      <c r="F2">
        <v>1</v>
      </c>
    </row>
    <row r="3" spans="1:8">
      <c r="A3">
        <v>2</v>
      </c>
      <c r="B3" t="s">
        <v>58</v>
      </c>
      <c r="C3" s="245">
        <v>163</v>
      </c>
      <c r="D3" s="245">
        <v>107.03999999999999</v>
      </c>
      <c r="E3">
        <v>15</v>
      </c>
      <c r="F3">
        <v>1</v>
      </c>
      <c r="G3">
        <v>3</v>
      </c>
    </row>
    <row r="4" spans="1:8">
      <c r="A4">
        <v>3</v>
      </c>
      <c r="B4" t="s">
        <v>59</v>
      </c>
      <c r="C4" s="245">
        <v>149</v>
      </c>
      <c r="D4" s="245">
        <v>90.77000000000001</v>
      </c>
      <c r="E4">
        <v>12</v>
      </c>
      <c r="F4">
        <v>1</v>
      </c>
      <c r="G4">
        <v>4</v>
      </c>
      <c r="H4">
        <v>0</v>
      </c>
    </row>
    <row r="5" spans="1:8">
      <c r="A5">
        <v>4</v>
      </c>
      <c r="B5" t="s">
        <v>60</v>
      </c>
      <c r="C5" s="245">
        <v>149</v>
      </c>
      <c r="D5" s="245">
        <v>90.77000000000001</v>
      </c>
      <c r="E5">
        <v>12</v>
      </c>
      <c r="F5">
        <v>1</v>
      </c>
      <c r="G5">
        <v>4</v>
      </c>
      <c r="H5">
        <v>0</v>
      </c>
    </row>
    <row r="6" spans="1:8">
      <c r="A6">
        <v>5</v>
      </c>
      <c r="B6" t="s">
        <v>61</v>
      </c>
      <c r="C6" s="245">
        <v>149</v>
      </c>
      <c r="D6" s="245">
        <v>90.77000000000001</v>
      </c>
      <c r="E6">
        <v>12</v>
      </c>
      <c r="F6">
        <v>1</v>
      </c>
      <c r="G6">
        <v>4</v>
      </c>
      <c r="H6">
        <v>0</v>
      </c>
    </row>
    <row r="7" spans="1:8">
      <c r="A7">
        <v>6</v>
      </c>
      <c r="B7" t="s">
        <v>62</v>
      </c>
      <c r="C7" s="245">
        <v>149</v>
      </c>
      <c r="D7" s="245">
        <v>90.77000000000001</v>
      </c>
      <c r="E7">
        <v>12</v>
      </c>
      <c r="F7">
        <v>1</v>
      </c>
      <c r="G7">
        <v>4</v>
      </c>
      <c r="H7">
        <v>0</v>
      </c>
    </row>
    <row r="8" spans="1:8">
      <c r="A8">
        <v>7</v>
      </c>
      <c r="B8" t="s">
        <v>72</v>
      </c>
      <c r="C8" s="245">
        <v>200</v>
      </c>
      <c r="D8" s="245">
        <v>122.95000000000002</v>
      </c>
      <c r="E8">
        <v>12</v>
      </c>
      <c r="F8">
        <v>2</v>
      </c>
      <c r="G8">
        <v>3</v>
      </c>
    </row>
    <row r="9" spans="1:8">
      <c r="A9">
        <v>8</v>
      </c>
      <c r="B9" t="s">
        <v>75</v>
      </c>
      <c r="C9" s="245">
        <v>188</v>
      </c>
      <c r="D9" s="245">
        <v>109.07000000000001</v>
      </c>
      <c r="E9">
        <v>6</v>
      </c>
      <c r="F9">
        <v>2</v>
      </c>
      <c r="G9">
        <v>2</v>
      </c>
    </row>
    <row r="10" spans="1:8">
      <c r="A10">
        <v>9</v>
      </c>
      <c r="B10" t="s">
        <v>74</v>
      </c>
      <c r="C10" s="245">
        <v>190</v>
      </c>
      <c r="D10" s="245">
        <v>101.32</v>
      </c>
      <c r="E10">
        <v>9</v>
      </c>
      <c r="F10">
        <v>2</v>
      </c>
      <c r="G10">
        <v>2</v>
      </c>
    </row>
    <row r="11" spans="1:8">
      <c r="A11">
        <v>10</v>
      </c>
      <c r="B11" t="s">
        <v>63</v>
      </c>
      <c r="C11" s="245">
        <v>137</v>
      </c>
      <c r="D11" s="245">
        <v>93.31</v>
      </c>
      <c r="E11">
        <v>9</v>
      </c>
      <c r="F11">
        <v>2</v>
      </c>
      <c r="G11">
        <v>2</v>
      </c>
    </row>
    <row r="12" spans="1:8">
      <c r="A12">
        <v>11</v>
      </c>
      <c r="B12" t="s">
        <v>64</v>
      </c>
      <c r="C12" s="245">
        <v>137</v>
      </c>
      <c r="D12" s="245">
        <v>90.06</v>
      </c>
      <c r="E12">
        <v>6</v>
      </c>
      <c r="F12">
        <v>1</v>
      </c>
      <c r="G12">
        <v>4</v>
      </c>
    </row>
    <row r="13" spans="1:8">
      <c r="A13">
        <v>12</v>
      </c>
      <c r="B13" t="s">
        <v>65</v>
      </c>
      <c r="C13" s="245">
        <v>175</v>
      </c>
      <c r="D13" s="245">
        <v>105.77</v>
      </c>
      <c r="E13">
        <v>12</v>
      </c>
      <c r="F13">
        <v>1</v>
      </c>
    </row>
    <row r="14" spans="1:8">
      <c r="A14">
        <v>13</v>
      </c>
      <c r="B14" t="s">
        <v>66</v>
      </c>
      <c r="C14" s="245">
        <v>183</v>
      </c>
      <c r="D14" s="245">
        <v>114.22499999999999</v>
      </c>
      <c r="E14">
        <v>12</v>
      </c>
      <c r="F14">
        <v>1</v>
      </c>
    </row>
    <row r="15" spans="1:8">
      <c r="A15">
        <v>14</v>
      </c>
      <c r="B15" t="s">
        <v>67</v>
      </c>
      <c r="C15" s="245">
        <v>146</v>
      </c>
      <c r="D15" s="245">
        <v>94.44</v>
      </c>
      <c r="E15">
        <v>20</v>
      </c>
      <c r="F15">
        <v>1</v>
      </c>
      <c r="G15">
        <v>5</v>
      </c>
    </row>
    <row r="16" spans="1:8">
      <c r="A16">
        <v>15</v>
      </c>
      <c r="B16" t="s">
        <v>68</v>
      </c>
      <c r="C16" s="245">
        <v>210</v>
      </c>
      <c r="D16" s="245">
        <v>204</v>
      </c>
      <c r="E16">
        <v>9</v>
      </c>
      <c r="F16">
        <v>2</v>
      </c>
      <c r="G16">
        <v>2</v>
      </c>
      <c r="H16">
        <v>4</v>
      </c>
    </row>
    <row r="17" spans="1:8">
      <c r="A17">
        <v>16</v>
      </c>
      <c r="B17" t="s">
        <v>69</v>
      </c>
      <c r="C17" s="245">
        <v>190</v>
      </c>
      <c r="D17" s="245">
        <v>185</v>
      </c>
      <c r="E17">
        <v>12</v>
      </c>
      <c r="F17">
        <v>2</v>
      </c>
      <c r="G17">
        <v>1</v>
      </c>
      <c r="H17">
        <v>0</v>
      </c>
    </row>
    <row r="18" spans="1:8">
      <c r="A18">
        <v>17</v>
      </c>
      <c r="B18" t="s">
        <v>70</v>
      </c>
      <c r="C18" s="245">
        <v>120</v>
      </c>
      <c r="D18" s="245">
        <v>115</v>
      </c>
      <c r="E18">
        <v>15</v>
      </c>
      <c r="F18">
        <v>1</v>
      </c>
      <c r="G18">
        <v>4</v>
      </c>
      <c r="H18">
        <v>0</v>
      </c>
    </row>
    <row r="19" spans="1:8">
      <c r="A19">
        <v>18</v>
      </c>
      <c r="B19" t="s">
        <v>71</v>
      </c>
      <c r="C19" s="245">
        <v>200</v>
      </c>
      <c r="D19" s="245">
        <v>143.4</v>
      </c>
      <c r="E19">
        <v>7</v>
      </c>
      <c r="F19">
        <v>2</v>
      </c>
      <c r="G19">
        <v>2</v>
      </c>
      <c r="H19">
        <v>3</v>
      </c>
    </row>
    <row r="20" spans="1:8">
      <c r="A20">
        <v>19</v>
      </c>
      <c r="B20" t="s">
        <v>73</v>
      </c>
      <c r="C20" s="245">
        <v>210</v>
      </c>
      <c r="D20" s="245">
        <v>152.9</v>
      </c>
      <c r="E20">
        <v>7</v>
      </c>
      <c r="F20">
        <v>2</v>
      </c>
      <c r="G20">
        <v>2</v>
      </c>
      <c r="H20">
        <v>3</v>
      </c>
    </row>
  </sheetData>
  <sortState xmlns:xlrd2="http://schemas.microsoft.com/office/spreadsheetml/2017/richdata2" ref="A2:H20">
    <sortCondition ref="B2:B20"/>
  </sortState>
  <phoneticPr fontId="2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CCFF"/>
  </sheetPr>
  <dimension ref="A1:S97"/>
  <sheetViews>
    <sheetView zoomScaleNormal="100" zoomScaleSheetLayoutView="130" workbookViewId="0"/>
  </sheetViews>
  <sheetFormatPr defaultRowHeight="13.5"/>
  <cols>
    <col min="1" max="1" width="33.875" customWidth="1"/>
    <col min="2" max="2" width="10" customWidth="1"/>
    <col min="3" max="7" width="9.625" customWidth="1"/>
    <col min="8" max="8" width="9.375" customWidth="1"/>
    <col min="10" max="10" width="9" customWidth="1"/>
  </cols>
  <sheetData>
    <row r="1" spans="1:19" s="56" customFormat="1" ht="23.25" customHeight="1">
      <c r="A1" s="51"/>
      <c r="B1" s="307" t="s">
        <v>81</v>
      </c>
      <c r="C1" s="307"/>
      <c r="D1" s="307"/>
      <c r="E1" s="307"/>
      <c r="F1" s="307"/>
      <c r="G1" s="201"/>
    </row>
    <row r="2" spans="1:19" ht="6" customHeight="1" thickBot="1">
      <c r="A2" s="117"/>
      <c r="B2" s="118"/>
      <c r="C2" s="118"/>
      <c r="D2" s="118"/>
      <c r="E2" s="118"/>
      <c r="F2" s="118"/>
      <c r="G2" s="118"/>
    </row>
    <row r="3" spans="1:19" ht="15" customHeight="1">
      <c r="A3" s="151"/>
      <c r="B3" s="152" t="s">
        <v>1</v>
      </c>
      <c r="C3" s="153" t="s">
        <v>76</v>
      </c>
      <c r="D3" s="154" t="s">
        <v>77</v>
      </c>
      <c r="E3" s="152" t="s">
        <v>78</v>
      </c>
      <c r="F3" s="237" t="s">
        <v>79</v>
      </c>
      <c r="G3" s="236" t="s">
        <v>80</v>
      </c>
      <c r="I3" s="29"/>
    </row>
    <row r="4" spans="1:19" s="15" customFormat="1" ht="15" customHeight="1">
      <c r="A4" s="203"/>
      <c r="B4" s="172">
        <f>SUM(C4:G4)</f>
        <v>0</v>
      </c>
      <c r="C4" s="225"/>
      <c r="D4" s="225"/>
      <c r="E4" s="225"/>
      <c r="F4" s="225"/>
      <c r="G4" s="226"/>
      <c r="L4" s="32"/>
    </row>
    <row r="5" spans="1:19" s="15" customFormat="1" ht="15" customHeight="1">
      <c r="A5" s="204"/>
      <c r="B5" s="173">
        <f t="shared" ref="B5:B57" si="0">SUM(C5:G5)</f>
        <v>0</v>
      </c>
      <c r="C5" s="238"/>
      <c r="D5" s="238"/>
      <c r="E5" s="238"/>
      <c r="F5" s="238"/>
      <c r="G5" s="239"/>
      <c r="H5" s="116"/>
      <c r="L5" s="32"/>
    </row>
    <row r="6" spans="1:19" s="15" customFormat="1" ht="15" customHeight="1">
      <c r="A6" s="203"/>
      <c r="B6" s="172">
        <f t="shared" si="0"/>
        <v>0</v>
      </c>
      <c r="C6" s="225"/>
      <c r="D6" s="225"/>
      <c r="E6" s="225"/>
      <c r="F6" s="225"/>
      <c r="G6" s="226"/>
      <c r="H6" s="116"/>
      <c r="I6" s="48"/>
      <c r="J6" s="29"/>
      <c r="L6" s="32"/>
    </row>
    <row r="7" spans="1:19" s="15" customFormat="1" ht="15" customHeight="1">
      <c r="A7" s="204"/>
      <c r="B7" s="173">
        <f t="shared" si="0"/>
        <v>0</v>
      </c>
      <c r="C7" s="238"/>
      <c r="D7" s="238"/>
      <c r="E7" s="238"/>
      <c r="F7" s="238"/>
      <c r="G7" s="239"/>
      <c r="H7" s="116"/>
      <c r="L7" s="32"/>
    </row>
    <row r="8" spans="1:19" s="15" customFormat="1" ht="15" customHeight="1" thickBot="1">
      <c r="A8" s="205"/>
      <c r="B8" s="174">
        <f t="shared" si="0"/>
        <v>0</v>
      </c>
      <c r="C8" s="227"/>
      <c r="D8" s="227"/>
      <c r="E8" s="227"/>
      <c r="F8" s="227"/>
      <c r="G8" s="228"/>
      <c r="H8" s="116"/>
      <c r="I8" s="29"/>
      <c r="J8" s="29"/>
      <c r="K8" s="29"/>
      <c r="L8" s="90"/>
      <c r="M8" s="29"/>
      <c r="N8" s="29"/>
      <c r="O8" s="29"/>
      <c r="P8" s="29"/>
    </row>
    <row r="9" spans="1:19" s="15" customFormat="1" ht="15" customHeight="1" thickBot="1">
      <c r="A9" s="220"/>
      <c r="B9" s="221">
        <f t="shared" si="0"/>
        <v>0</v>
      </c>
      <c r="C9" s="240"/>
      <c r="D9" s="240"/>
      <c r="E9" s="240"/>
      <c r="F9" s="240"/>
      <c r="G9" s="241"/>
      <c r="H9" s="116"/>
      <c r="L9" s="32"/>
    </row>
    <row r="10" spans="1:19" s="15" customFormat="1" ht="15" customHeight="1">
      <c r="A10" s="203"/>
      <c r="B10" s="172">
        <f t="shared" si="0"/>
        <v>0</v>
      </c>
      <c r="C10" s="225"/>
      <c r="D10" s="225"/>
      <c r="E10" s="225"/>
      <c r="F10" s="225"/>
      <c r="G10" s="226"/>
      <c r="H10" s="116"/>
      <c r="I10" s="101" t="s">
        <v>28</v>
      </c>
      <c r="J10" s="91"/>
      <c r="K10" s="91"/>
      <c r="L10" s="92"/>
      <c r="M10" s="91"/>
      <c r="N10" s="91"/>
      <c r="O10" s="91"/>
      <c r="P10" s="91"/>
      <c r="Q10" s="91"/>
      <c r="R10" s="102"/>
      <c r="S10" s="93"/>
    </row>
    <row r="11" spans="1:19" s="15" customFormat="1" ht="15" customHeight="1">
      <c r="A11" s="204"/>
      <c r="B11" s="173">
        <f t="shared" si="0"/>
        <v>0</v>
      </c>
      <c r="C11" s="238"/>
      <c r="D11" s="238"/>
      <c r="E11" s="238"/>
      <c r="F11" s="238"/>
      <c r="G11" s="239"/>
      <c r="H11" s="116"/>
      <c r="I11" s="96" t="s">
        <v>29</v>
      </c>
      <c r="L11" s="32"/>
      <c r="S11" s="95"/>
    </row>
    <row r="12" spans="1:19" s="15" customFormat="1" ht="15" customHeight="1">
      <c r="A12" s="203"/>
      <c r="B12" s="172">
        <f t="shared" si="0"/>
        <v>0</v>
      </c>
      <c r="C12" s="225"/>
      <c r="D12" s="225"/>
      <c r="E12" s="225"/>
      <c r="F12" s="225"/>
      <c r="G12" s="226"/>
      <c r="H12" s="116"/>
      <c r="I12" s="94" t="s">
        <v>30</v>
      </c>
      <c r="J12" s="29"/>
      <c r="K12" s="29"/>
      <c r="L12" s="90"/>
      <c r="M12" s="29"/>
      <c r="N12" s="29"/>
      <c r="O12" s="29"/>
      <c r="P12" s="29"/>
      <c r="Q12" s="29"/>
      <c r="S12" s="95"/>
    </row>
    <row r="13" spans="1:19" s="15" customFormat="1" ht="15" customHeight="1" thickBot="1">
      <c r="A13" s="206"/>
      <c r="B13" s="175">
        <f t="shared" si="0"/>
        <v>0</v>
      </c>
      <c r="C13" s="242"/>
      <c r="D13" s="242"/>
      <c r="E13" s="242"/>
      <c r="F13" s="242"/>
      <c r="G13" s="243"/>
      <c r="H13" s="116"/>
      <c r="I13" s="96" t="s">
        <v>31</v>
      </c>
      <c r="L13" s="32"/>
      <c r="N13" s="15" t="s">
        <v>42</v>
      </c>
      <c r="S13" s="95"/>
    </row>
    <row r="14" spans="1:19" s="15" customFormat="1" ht="15" customHeight="1">
      <c r="A14" s="222"/>
      <c r="B14" s="223">
        <f t="shared" si="0"/>
        <v>0</v>
      </c>
      <c r="C14" s="229"/>
      <c r="D14" s="229"/>
      <c r="E14" s="229"/>
      <c r="F14" s="229"/>
      <c r="G14" s="230"/>
      <c r="H14" s="116"/>
      <c r="I14" s="94" t="s">
        <v>32</v>
      </c>
      <c r="J14" s="29"/>
      <c r="K14" s="29" t="s">
        <v>40</v>
      </c>
      <c r="L14" s="103" t="s">
        <v>39</v>
      </c>
      <c r="M14" s="29" t="s">
        <v>45</v>
      </c>
      <c r="N14" s="29" t="s">
        <v>35</v>
      </c>
      <c r="O14" s="29"/>
      <c r="P14" s="29"/>
      <c r="Q14" s="29"/>
      <c r="S14" s="95"/>
    </row>
    <row r="15" spans="1:19" s="15" customFormat="1" ht="15" customHeight="1">
      <c r="A15" s="204"/>
      <c r="B15" s="173">
        <f t="shared" si="0"/>
        <v>0</v>
      </c>
      <c r="C15" s="238"/>
      <c r="D15" s="238"/>
      <c r="E15" s="238"/>
      <c r="F15" s="238"/>
      <c r="G15" s="239"/>
      <c r="H15" s="116"/>
      <c r="I15" s="96"/>
      <c r="L15" s="32"/>
      <c r="N15" s="15" t="s">
        <v>33</v>
      </c>
      <c r="S15" s="95"/>
    </row>
    <row r="16" spans="1:19" s="15" customFormat="1" ht="15" customHeight="1">
      <c r="A16" s="203"/>
      <c r="B16" s="172">
        <f t="shared" si="0"/>
        <v>0</v>
      </c>
      <c r="C16" s="225"/>
      <c r="D16" s="225"/>
      <c r="E16" s="225"/>
      <c r="F16" s="225"/>
      <c r="G16" s="226"/>
      <c r="H16" s="116"/>
      <c r="I16" s="94"/>
      <c r="J16" s="29"/>
      <c r="K16" s="29"/>
      <c r="L16" s="29"/>
      <c r="M16" s="29"/>
      <c r="N16" s="29" t="s">
        <v>34</v>
      </c>
      <c r="O16" s="29"/>
      <c r="P16" s="29"/>
      <c r="Q16" s="29"/>
      <c r="S16" s="95"/>
    </row>
    <row r="17" spans="1:19" s="15" customFormat="1" ht="15" customHeight="1">
      <c r="A17" s="204"/>
      <c r="B17" s="173">
        <f t="shared" si="0"/>
        <v>0</v>
      </c>
      <c r="C17" s="238"/>
      <c r="D17" s="238"/>
      <c r="E17" s="238"/>
      <c r="F17" s="238"/>
      <c r="G17" s="239"/>
      <c r="H17" s="116"/>
      <c r="I17" s="96"/>
      <c r="L17" s="32" t="s">
        <v>46</v>
      </c>
      <c r="N17" s="15" t="s">
        <v>37</v>
      </c>
      <c r="S17" s="95"/>
    </row>
    <row r="18" spans="1:19" s="15" customFormat="1" ht="15" customHeight="1" thickBot="1">
      <c r="A18" s="207"/>
      <c r="B18" s="174">
        <f t="shared" si="0"/>
        <v>0</v>
      </c>
      <c r="C18" s="227"/>
      <c r="D18" s="227"/>
      <c r="E18" s="227"/>
      <c r="F18" s="227"/>
      <c r="G18" s="228"/>
      <c r="H18" s="116"/>
      <c r="I18" s="94"/>
      <c r="J18" s="29"/>
      <c r="K18" s="29"/>
      <c r="L18" s="90"/>
      <c r="M18" s="29"/>
      <c r="N18" s="29" t="s">
        <v>36</v>
      </c>
      <c r="O18" s="29"/>
      <c r="P18" s="29"/>
      <c r="Q18" s="29"/>
      <c r="S18" s="95"/>
    </row>
    <row r="19" spans="1:19" s="15" customFormat="1" ht="15" customHeight="1">
      <c r="A19" s="220"/>
      <c r="B19" s="221">
        <f t="shared" si="0"/>
        <v>0</v>
      </c>
      <c r="C19" s="240"/>
      <c r="D19" s="240"/>
      <c r="E19" s="240"/>
      <c r="F19" s="240"/>
      <c r="G19" s="241"/>
      <c r="H19" s="116"/>
      <c r="I19" s="96"/>
      <c r="L19" s="32"/>
      <c r="N19" s="15" t="s">
        <v>38</v>
      </c>
      <c r="S19" s="95"/>
    </row>
    <row r="20" spans="1:19" s="15" customFormat="1" ht="15" customHeight="1">
      <c r="A20" s="203"/>
      <c r="B20" s="172">
        <f t="shared" si="0"/>
        <v>0</v>
      </c>
      <c r="C20" s="225"/>
      <c r="D20" s="225"/>
      <c r="E20" s="225"/>
      <c r="F20" s="225"/>
      <c r="G20" s="226"/>
      <c r="H20" s="116"/>
      <c r="I20" s="94"/>
      <c r="J20" s="29"/>
      <c r="K20" s="308" t="s">
        <v>41</v>
      </c>
      <c r="L20" s="308"/>
      <c r="M20" s="308"/>
      <c r="N20" s="308"/>
      <c r="O20" s="308"/>
      <c r="P20" s="308"/>
      <c r="Q20" s="308"/>
      <c r="R20" s="308"/>
      <c r="S20" s="309"/>
    </row>
    <row r="21" spans="1:19" s="15" customFormat="1" ht="15" customHeight="1">
      <c r="A21" s="204"/>
      <c r="B21" s="173">
        <f t="shared" si="0"/>
        <v>0</v>
      </c>
      <c r="C21" s="238"/>
      <c r="D21" s="238"/>
      <c r="E21" s="238"/>
      <c r="F21" s="238"/>
      <c r="G21" s="239"/>
      <c r="I21" s="96"/>
      <c r="L21" s="32"/>
      <c r="S21" s="95"/>
    </row>
    <row r="22" spans="1:19" s="15" customFormat="1" ht="15" customHeight="1">
      <c r="A22" s="203"/>
      <c r="B22" s="172">
        <f t="shared" si="0"/>
        <v>0</v>
      </c>
      <c r="C22" s="225"/>
      <c r="D22" s="225"/>
      <c r="E22" s="225"/>
      <c r="F22" s="225"/>
      <c r="G22" s="226"/>
      <c r="I22" s="94"/>
      <c r="J22" s="29"/>
      <c r="K22" s="29" t="s">
        <v>43</v>
      </c>
      <c r="L22" s="90"/>
      <c r="M22" s="29"/>
      <c r="N22" s="29"/>
      <c r="O22" s="29"/>
      <c r="P22" s="29"/>
      <c r="Q22" s="29"/>
      <c r="S22" s="95"/>
    </row>
    <row r="23" spans="1:19" s="15" customFormat="1" ht="15" customHeight="1" thickBot="1">
      <c r="A23" s="206"/>
      <c r="B23" s="175">
        <f t="shared" si="0"/>
        <v>0</v>
      </c>
      <c r="C23" s="242"/>
      <c r="D23" s="242"/>
      <c r="E23" s="242"/>
      <c r="F23" s="242"/>
      <c r="G23" s="243"/>
      <c r="I23" s="96"/>
      <c r="L23" s="32"/>
      <c r="S23" s="95"/>
    </row>
    <row r="24" spans="1:19" s="29" customFormat="1" ht="15" customHeight="1">
      <c r="A24" s="222"/>
      <c r="B24" s="223">
        <f t="shared" si="0"/>
        <v>0</v>
      </c>
      <c r="C24" s="229"/>
      <c r="D24" s="229"/>
      <c r="E24" s="229"/>
      <c r="F24" s="229"/>
      <c r="G24" s="230"/>
      <c r="I24" s="94"/>
      <c r="L24" s="90"/>
      <c r="S24" s="100"/>
    </row>
    <row r="25" spans="1:19" s="15" customFormat="1" ht="15" customHeight="1">
      <c r="A25" s="208"/>
      <c r="B25" s="173">
        <f t="shared" si="0"/>
        <v>0</v>
      </c>
      <c r="C25" s="238"/>
      <c r="D25" s="238"/>
      <c r="E25" s="238"/>
      <c r="F25" s="238"/>
      <c r="G25" s="239"/>
      <c r="I25" s="96"/>
      <c r="L25" s="32"/>
      <c r="S25" s="95"/>
    </row>
    <row r="26" spans="1:19" s="29" customFormat="1" ht="15" customHeight="1">
      <c r="A26" s="203"/>
      <c r="B26" s="172">
        <f t="shared" si="0"/>
        <v>0</v>
      </c>
      <c r="C26" s="225"/>
      <c r="D26" s="225"/>
      <c r="E26" s="225"/>
      <c r="F26" s="225"/>
      <c r="G26" s="226"/>
      <c r="I26" s="94"/>
      <c r="L26" s="90"/>
      <c r="S26" s="100"/>
    </row>
    <row r="27" spans="1:19" s="15" customFormat="1" ht="15" customHeight="1" thickBot="1">
      <c r="A27" s="204"/>
      <c r="B27" s="173">
        <f t="shared" si="0"/>
        <v>0</v>
      </c>
      <c r="C27" s="238"/>
      <c r="D27" s="238"/>
      <c r="E27" s="238"/>
      <c r="F27" s="238"/>
      <c r="G27" s="239"/>
      <c r="I27" s="104"/>
      <c r="J27" s="97"/>
      <c r="K27" s="97"/>
      <c r="L27" s="98"/>
      <c r="M27" s="97"/>
      <c r="N27" s="97"/>
      <c r="O27" s="97"/>
      <c r="P27" s="97"/>
      <c r="Q27" s="97"/>
      <c r="R27" s="97"/>
      <c r="S27" s="99"/>
    </row>
    <row r="28" spans="1:19" s="29" customFormat="1" ht="15" customHeight="1" thickBot="1">
      <c r="A28" s="205"/>
      <c r="B28" s="174">
        <f t="shared" si="0"/>
        <v>0</v>
      </c>
      <c r="C28" s="227"/>
      <c r="D28" s="227"/>
      <c r="E28" s="227"/>
      <c r="F28" s="227"/>
      <c r="G28" s="228"/>
      <c r="L28" s="90"/>
    </row>
    <row r="29" spans="1:19" s="15" customFormat="1" ht="15" customHeight="1">
      <c r="A29" s="220"/>
      <c r="B29" s="221">
        <f t="shared" si="0"/>
        <v>0</v>
      </c>
      <c r="C29" s="240"/>
      <c r="D29" s="240"/>
      <c r="E29" s="240"/>
      <c r="F29" s="240"/>
      <c r="G29" s="241"/>
      <c r="L29" s="32"/>
    </row>
    <row r="30" spans="1:19" s="29" customFormat="1" ht="15" customHeight="1">
      <c r="A30" s="203"/>
      <c r="B30" s="172">
        <f t="shared" si="0"/>
        <v>0</v>
      </c>
      <c r="C30" s="225"/>
      <c r="D30" s="225"/>
      <c r="E30" s="225"/>
      <c r="F30" s="225"/>
      <c r="G30" s="226"/>
      <c r="L30" s="90"/>
    </row>
    <row r="31" spans="1:19" s="15" customFormat="1" ht="15" customHeight="1">
      <c r="A31" s="209"/>
      <c r="B31" s="173">
        <f t="shared" si="0"/>
        <v>0</v>
      </c>
      <c r="C31" s="238"/>
      <c r="D31" s="238"/>
      <c r="E31" s="238"/>
      <c r="F31" s="238"/>
      <c r="G31" s="239"/>
      <c r="L31" s="32"/>
    </row>
    <row r="32" spans="1:19" s="29" customFormat="1" ht="15" customHeight="1">
      <c r="A32" s="203"/>
      <c r="B32" s="172">
        <f t="shared" si="0"/>
        <v>0</v>
      </c>
      <c r="C32" s="225"/>
      <c r="D32" s="225"/>
      <c r="E32" s="225"/>
      <c r="F32" s="225"/>
      <c r="G32" s="226"/>
      <c r="L32" s="90"/>
    </row>
    <row r="33" spans="1:12" s="15" customFormat="1" ht="15" customHeight="1" thickBot="1">
      <c r="A33" s="206"/>
      <c r="B33" s="175">
        <f t="shared" si="0"/>
        <v>0</v>
      </c>
      <c r="C33" s="242"/>
      <c r="D33" s="242"/>
      <c r="E33" s="242"/>
      <c r="F33" s="242"/>
      <c r="G33" s="243"/>
      <c r="L33" s="32"/>
    </row>
    <row r="34" spans="1:12" s="29" customFormat="1" ht="15" customHeight="1">
      <c r="A34" s="222"/>
      <c r="B34" s="223">
        <f t="shared" si="0"/>
        <v>0</v>
      </c>
      <c r="C34" s="229"/>
      <c r="D34" s="229"/>
      <c r="E34" s="229"/>
      <c r="F34" s="229"/>
      <c r="G34" s="230"/>
      <c r="L34" s="90"/>
    </row>
    <row r="35" spans="1:12" s="15" customFormat="1" ht="15" customHeight="1">
      <c r="A35" s="210"/>
      <c r="B35" s="173">
        <f t="shared" si="0"/>
        <v>0</v>
      </c>
      <c r="C35" s="238"/>
      <c r="D35" s="238"/>
      <c r="E35" s="238"/>
      <c r="F35" s="238"/>
      <c r="G35" s="239"/>
      <c r="L35" s="32"/>
    </row>
    <row r="36" spans="1:12" s="29" customFormat="1" ht="15" customHeight="1">
      <c r="A36" s="203"/>
      <c r="B36" s="172">
        <f t="shared" si="0"/>
        <v>0</v>
      </c>
      <c r="C36" s="225"/>
      <c r="D36" s="225"/>
      <c r="E36" s="225"/>
      <c r="F36" s="225"/>
      <c r="G36" s="226"/>
      <c r="L36" s="90"/>
    </row>
    <row r="37" spans="1:12" s="15" customFormat="1" ht="15" customHeight="1">
      <c r="A37" s="204"/>
      <c r="B37" s="173">
        <f t="shared" si="0"/>
        <v>0</v>
      </c>
      <c r="C37" s="238"/>
      <c r="D37" s="238"/>
      <c r="E37" s="238"/>
      <c r="F37" s="238"/>
      <c r="G37" s="239"/>
      <c r="L37" s="32"/>
    </row>
    <row r="38" spans="1:12" s="29" customFormat="1" ht="15" customHeight="1">
      <c r="A38" s="203"/>
      <c r="B38" s="172">
        <f t="shared" si="0"/>
        <v>0</v>
      </c>
      <c r="C38" s="225"/>
      <c r="D38" s="225"/>
      <c r="E38" s="225"/>
      <c r="F38" s="225"/>
      <c r="G38" s="226"/>
      <c r="L38" s="90"/>
    </row>
    <row r="39" spans="1:12" s="15" customFormat="1" ht="14.25" customHeight="1" thickBot="1">
      <c r="A39" s="206"/>
      <c r="B39" s="224">
        <f t="shared" si="0"/>
        <v>0</v>
      </c>
      <c r="C39" s="242"/>
      <c r="D39" s="242"/>
      <c r="E39" s="242"/>
      <c r="F39" s="242"/>
      <c r="G39" s="243"/>
      <c r="L39" s="32"/>
    </row>
    <row r="40" spans="1:12" s="29" customFormat="1" ht="15" customHeight="1">
      <c r="A40" s="222"/>
      <c r="B40" s="223">
        <f t="shared" si="0"/>
        <v>0</v>
      </c>
      <c r="C40" s="229"/>
      <c r="D40" s="229"/>
      <c r="E40" s="229"/>
      <c r="F40" s="229"/>
      <c r="G40" s="230"/>
      <c r="L40" s="90"/>
    </row>
    <row r="41" spans="1:12" s="15" customFormat="1" ht="15" customHeight="1">
      <c r="A41" s="204"/>
      <c r="B41" s="173">
        <f t="shared" si="0"/>
        <v>0</v>
      </c>
      <c r="C41" s="238"/>
      <c r="D41" s="238"/>
      <c r="E41" s="238"/>
      <c r="F41" s="238"/>
      <c r="G41" s="239"/>
      <c r="K41" s="33"/>
      <c r="L41" s="32"/>
    </row>
    <row r="42" spans="1:12" s="29" customFormat="1" ht="15" customHeight="1">
      <c r="A42" s="203"/>
      <c r="B42" s="172">
        <f t="shared" si="0"/>
        <v>0</v>
      </c>
      <c r="C42" s="225"/>
      <c r="D42" s="225"/>
      <c r="E42" s="225"/>
      <c r="F42" s="225"/>
      <c r="G42" s="226"/>
      <c r="L42" s="90"/>
    </row>
    <row r="43" spans="1:12" s="15" customFormat="1" ht="15" customHeight="1">
      <c r="A43" s="204"/>
      <c r="B43" s="173">
        <f t="shared" si="0"/>
        <v>0</v>
      </c>
      <c r="C43" s="238"/>
      <c r="D43" s="238"/>
      <c r="E43" s="238"/>
      <c r="F43" s="238"/>
      <c r="G43" s="239"/>
      <c r="L43" s="32"/>
    </row>
    <row r="44" spans="1:12" s="29" customFormat="1" ht="15" customHeight="1" thickBot="1">
      <c r="A44" s="211"/>
      <c r="B44" s="231">
        <f t="shared" si="0"/>
        <v>0</v>
      </c>
      <c r="C44" s="227"/>
      <c r="D44" s="227"/>
      <c r="E44" s="227"/>
      <c r="F44" s="227"/>
      <c r="G44" s="228"/>
    </row>
    <row r="45" spans="1:12" s="15" customFormat="1" ht="15" customHeight="1">
      <c r="A45" s="220"/>
      <c r="B45" s="221">
        <f t="shared" si="0"/>
        <v>0</v>
      </c>
      <c r="C45" s="240"/>
      <c r="D45" s="240"/>
      <c r="E45" s="240"/>
      <c r="F45" s="240"/>
      <c r="G45" s="241"/>
    </row>
    <row r="46" spans="1:12" s="29" customFormat="1" ht="15" customHeight="1">
      <c r="A46" s="212"/>
      <c r="B46" s="172">
        <f t="shared" si="0"/>
        <v>0</v>
      </c>
      <c r="C46" s="225"/>
      <c r="D46" s="225"/>
      <c r="E46" s="225"/>
      <c r="F46" s="225"/>
      <c r="G46" s="226"/>
    </row>
    <row r="47" spans="1:12" s="15" customFormat="1" ht="15" customHeight="1">
      <c r="A47" s="204"/>
      <c r="B47" s="173">
        <f t="shared" si="0"/>
        <v>0</v>
      </c>
      <c r="C47" s="238"/>
      <c r="D47" s="238"/>
      <c r="E47" s="238"/>
      <c r="F47" s="238"/>
      <c r="G47" s="239"/>
    </row>
    <row r="48" spans="1:12" s="29" customFormat="1" ht="15" customHeight="1">
      <c r="A48" s="212"/>
      <c r="B48" s="172">
        <f t="shared" si="0"/>
        <v>0</v>
      </c>
      <c r="C48" s="225"/>
      <c r="D48" s="225"/>
      <c r="E48" s="225"/>
      <c r="F48" s="225"/>
      <c r="G48" s="226"/>
    </row>
    <row r="49" spans="1:7" s="15" customFormat="1" ht="15" customHeight="1" thickBot="1">
      <c r="A49" s="235"/>
      <c r="B49" s="224">
        <f t="shared" si="0"/>
        <v>0</v>
      </c>
      <c r="C49" s="242"/>
      <c r="D49" s="242"/>
      <c r="E49" s="242"/>
      <c r="F49" s="242"/>
      <c r="G49" s="243"/>
    </row>
    <row r="50" spans="1:7" s="29" customFormat="1" ht="15" customHeight="1">
      <c r="A50" s="232"/>
      <c r="B50" s="303">
        <f t="shared" si="0"/>
        <v>0</v>
      </c>
      <c r="C50" s="233"/>
      <c r="D50" s="233"/>
      <c r="E50" s="233"/>
      <c r="F50" s="233"/>
      <c r="G50" s="234"/>
    </row>
    <row r="51" spans="1:7" s="15" customFormat="1" ht="15" customHeight="1">
      <c r="A51" s="215"/>
      <c r="B51" s="173">
        <f t="shared" si="0"/>
        <v>0</v>
      </c>
      <c r="C51" s="16"/>
      <c r="D51" s="16"/>
      <c r="E51" s="16"/>
      <c r="F51" s="16"/>
      <c r="G51" s="216"/>
    </row>
    <row r="52" spans="1:7" s="29" customFormat="1" ht="15" customHeight="1">
      <c r="A52" s="213"/>
      <c r="B52" s="172">
        <f t="shared" si="0"/>
        <v>0</v>
      </c>
      <c r="C52" s="28"/>
      <c r="D52" s="28"/>
      <c r="E52" s="28"/>
      <c r="F52" s="28"/>
      <c r="G52" s="214"/>
    </row>
    <row r="53" spans="1:7" s="15" customFormat="1" ht="15" customHeight="1">
      <c r="A53" s="215"/>
      <c r="B53" s="173">
        <f t="shared" si="0"/>
        <v>0</v>
      </c>
      <c r="C53" s="16"/>
      <c r="D53" s="16"/>
      <c r="E53" s="16"/>
      <c r="F53" s="16"/>
      <c r="G53" s="216"/>
    </row>
    <row r="54" spans="1:7" s="29" customFormat="1" ht="15" customHeight="1">
      <c r="A54" s="213"/>
      <c r="B54" s="172">
        <f t="shared" si="0"/>
        <v>0</v>
      </c>
      <c r="C54" s="28"/>
      <c r="D54" s="28"/>
      <c r="E54" s="28"/>
      <c r="F54" s="28"/>
      <c r="G54" s="214"/>
    </row>
    <row r="55" spans="1:7" s="15" customFormat="1" ht="15" customHeight="1">
      <c r="A55" s="217"/>
      <c r="B55" s="304">
        <f t="shared" si="0"/>
        <v>0</v>
      </c>
      <c r="C55" s="16"/>
      <c r="D55" s="16"/>
      <c r="E55" s="16"/>
      <c r="F55" s="16"/>
      <c r="G55" s="216"/>
    </row>
    <row r="56" spans="1:7" s="29" customFormat="1" ht="15" customHeight="1">
      <c r="A56" s="213"/>
      <c r="B56" s="305">
        <f t="shared" si="0"/>
        <v>0</v>
      </c>
      <c r="C56" s="28"/>
      <c r="D56" s="28"/>
      <c r="E56" s="28"/>
      <c r="F56" s="28"/>
      <c r="G56" s="214"/>
    </row>
    <row r="57" spans="1:7" s="15" customFormat="1" ht="15" customHeight="1" thickBot="1">
      <c r="A57" s="279"/>
      <c r="B57" s="306">
        <f t="shared" si="0"/>
        <v>0</v>
      </c>
      <c r="C57" s="280"/>
      <c r="D57" s="280"/>
      <c r="E57" s="280"/>
      <c r="F57" s="281"/>
      <c r="G57" s="282"/>
    </row>
    <row r="58" spans="1:7" s="29" customFormat="1" ht="17.25" customHeight="1" thickBot="1">
      <c r="A58" s="283" t="s">
        <v>0</v>
      </c>
      <c r="B58" s="284">
        <f t="shared" ref="B58:F58" si="1">SUM(B4:B57)</f>
        <v>0</v>
      </c>
      <c r="C58" s="284">
        <f t="shared" si="1"/>
        <v>0</v>
      </c>
      <c r="D58" s="284">
        <f t="shared" si="1"/>
        <v>0</v>
      </c>
      <c r="E58" s="284">
        <f t="shared" si="1"/>
        <v>0</v>
      </c>
      <c r="F58" s="284">
        <f t="shared" si="1"/>
        <v>0</v>
      </c>
      <c r="G58" s="284">
        <f t="shared" ref="G58" si="2">SUM(G4:G57)</f>
        <v>0</v>
      </c>
    </row>
    <row r="59" spans="1:7" ht="15" customHeight="1" thickBot="1">
      <c r="A59" s="218"/>
      <c r="B59" s="219"/>
      <c r="C59" s="54" t="str">
        <f>C3</f>
        <v>営業所A</v>
      </c>
      <c r="D59" s="52" t="str">
        <f t="shared" ref="D59:G59" si="3">D3</f>
        <v>営業所B</v>
      </c>
      <c r="E59" s="50" t="str">
        <f t="shared" si="3"/>
        <v>営業所C</v>
      </c>
      <c r="F59" s="53" t="str">
        <f t="shared" si="3"/>
        <v>営業所D</v>
      </c>
      <c r="G59" s="202" t="str">
        <f t="shared" si="3"/>
        <v>営業所E</v>
      </c>
    </row>
    <row r="60" spans="1:7" ht="14.45" customHeight="1">
      <c r="A60" s="2"/>
      <c r="B60" s="67"/>
      <c r="C60" s="3"/>
      <c r="D60" s="1"/>
      <c r="E60" s="1"/>
      <c r="F60" s="67"/>
      <c r="G60" s="67"/>
    </row>
    <row r="61" spans="1:7" ht="14.45" customHeight="1">
      <c r="C61" s="3"/>
      <c r="D61" s="1"/>
      <c r="E61" s="1"/>
    </row>
    <row r="62" spans="1:7" ht="15.95" customHeight="1">
      <c r="C62" s="3"/>
      <c r="D62" s="1"/>
    </row>
    <row r="63" spans="1:7" ht="15.95" customHeight="1">
      <c r="C63" s="3"/>
      <c r="D63" s="1"/>
    </row>
    <row r="64" spans="1:7" ht="15">
      <c r="C64" s="3"/>
      <c r="D64" s="1"/>
    </row>
    <row r="65" spans="4:4" ht="15">
      <c r="D65" s="1"/>
    </row>
    <row r="66" spans="4:4" ht="15">
      <c r="D66" s="1"/>
    </row>
    <row r="67" spans="4:4" ht="15">
      <c r="D67" s="1"/>
    </row>
    <row r="68" spans="4:4" ht="15">
      <c r="D68" s="1"/>
    </row>
    <row r="69" spans="4:4" ht="15">
      <c r="D69" s="1"/>
    </row>
    <row r="70" spans="4:4" ht="15">
      <c r="D70" s="1"/>
    </row>
    <row r="71" spans="4:4" ht="15">
      <c r="D71" s="1"/>
    </row>
    <row r="72" spans="4:4" ht="15">
      <c r="D72" s="1"/>
    </row>
    <row r="73" spans="4:4" ht="15">
      <c r="D73" s="1"/>
    </row>
    <row r="74" spans="4:4" ht="15">
      <c r="D74" s="1"/>
    </row>
    <row r="75" spans="4:4" ht="15">
      <c r="D75" s="1"/>
    </row>
    <row r="76" spans="4:4" ht="15">
      <c r="D76" s="1"/>
    </row>
    <row r="77" spans="4:4" ht="15">
      <c r="D77" s="1"/>
    </row>
    <row r="78" spans="4:4" ht="15">
      <c r="D78" s="1"/>
    </row>
    <row r="79" spans="4:4" ht="15">
      <c r="D79" s="1"/>
    </row>
    <row r="80" spans="4:4" ht="15">
      <c r="D80" s="1"/>
    </row>
    <row r="81" spans="4:4" ht="15">
      <c r="D81" s="1"/>
    </row>
    <row r="82" spans="4:4" ht="15">
      <c r="D82" s="1"/>
    </row>
    <row r="83" spans="4:4" ht="15">
      <c r="D83" s="1"/>
    </row>
    <row r="84" spans="4:4" ht="15">
      <c r="D84" s="1"/>
    </row>
    <row r="85" spans="4:4" ht="15">
      <c r="D85" s="1"/>
    </row>
    <row r="86" spans="4:4" ht="15">
      <c r="D86" s="1"/>
    </row>
    <row r="87" spans="4:4" ht="15">
      <c r="D87" s="1"/>
    </row>
    <row r="88" spans="4:4" ht="15">
      <c r="D88" s="1"/>
    </row>
    <row r="89" spans="4:4" ht="15">
      <c r="D89" s="1"/>
    </row>
    <row r="90" spans="4:4" ht="15">
      <c r="D90" s="1"/>
    </row>
    <row r="91" spans="4:4" ht="15">
      <c r="D91" s="1"/>
    </row>
    <row r="92" spans="4:4" ht="15">
      <c r="D92" s="1"/>
    </row>
    <row r="93" spans="4:4" ht="15">
      <c r="D93" s="1"/>
    </row>
    <row r="94" spans="4:4" ht="15">
      <c r="D94" s="1"/>
    </row>
    <row r="95" spans="4:4" ht="15">
      <c r="D95" s="1"/>
    </row>
    <row r="96" spans="4:4" ht="15">
      <c r="D96" s="1"/>
    </row>
    <row r="97" spans="4:4" ht="15">
      <c r="D97" s="1"/>
    </row>
  </sheetData>
  <mergeCells count="2">
    <mergeCell ref="B1:F1"/>
    <mergeCell ref="K20:S20"/>
  </mergeCells>
  <phoneticPr fontId="2"/>
  <pageMargins left="0.17" right="0.23" top="0.44" bottom="0.2" header="0.2" footer="0.11811023622047245"/>
  <pageSetup paperSize="9" scale="95" orientation="portrait" r:id="rId1"/>
  <headerFooter alignWithMargins="0">
    <oddHeader>&amp;L&amp;12      ㈱クラウン&amp;C平岡次長様</oddHeader>
    <oddFooter>&amp;C南北奈良京都
&amp;RPage &amp;P</oddFooter>
  </headerFooter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FFC000"/>
  </sheetPr>
  <dimension ref="A1:H73"/>
  <sheetViews>
    <sheetView zoomScaleNormal="100" workbookViewId="0">
      <pane ySplit="3" topLeftCell="A4" activePane="bottomLeft" state="frozen"/>
      <selection pane="bottomLeft" sqref="A1:B1"/>
    </sheetView>
  </sheetViews>
  <sheetFormatPr defaultRowHeight="13.5"/>
  <cols>
    <col min="1" max="1" width="39.75" customWidth="1"/>
    <col min="2" max="6" width="15.625" customWidth="1"/>
  </cols>
  <sheetData>
    <row r="1" spans="1:6" ht="30" customHeight="1">
      <c r="A1" s="311" t="s">
        <v>5</v>
      </c>
      <c r="B1" s="311"/>
      <c r="C1" s="312">
        <f>販売表!A1</f>
        <v>0</v>
      </c>
      <c r="D1" s="312"/>
      <c r="E1" s="312"/>
      <c r="F1" s="36" t="s">
        <v>8</v>
      </c>
    </row>
    <row r="2" spans="1:6" ht="7.5" customHeight="1">
      <c r="A2" s="8"/>
      <c r="B2" s="13"/>
      <c r="C2" s="13"/>
      <c r="D2" s="13"/>
      <c r="E2" s="12"/>
      <c r="F2" s="12"/>
    </row>
    <row r="3" spans="1:6" ht="30" customHeight="1">
      <c r="A3" s="24" t="s">
        <v>2</v>
      </c>
      <c r="B3" s="143" t="str">
        <f>販売表!C3</f>
        <v>営業所A</v>
      </c>
      <c r="C3" s="144" t="str">
        <f>販売表!D3</f>
        <v>営業所B</v>
      </c>
      <c r="D3" s="25" t="str">
        <f>販売表!E3</f>
        <v>営業所C</v>
      </c>
      <c r="E3" s="145" t="str">
        <f>販売表!F3</f>
        <v>営業所D</v>
      </c>
      <c r="F3" s="146" t="str">
        <f>販売表!G3</f>
        <v>営業所E</v>
      </c>
    </row>
    <row r="4" spans="1:6" ht="27" customHeight="1">
      <c r="A4" s="105" t="str">
        <f>IF(販売表!A4=0,"",販売表!A4)</f>
        <v/>
      </c>
      <c r="B4" s="27" t="str">
        <f>換算１!D4</f>
        <v/>
      </c>
      <c r="C4" s="23" t="str">
        <f>換算１!F4</f>
        <v/>
      </c>
      <c r="D4" s="23" t="str">
        <f>換算１!H4</f>
        <v/>
      </c>
      <c r="E4" s="23" t="str">
        <f>換算１!J4</f>
        <v/>
      </c>
      <c r="F4" s="23" t="str">
        <f>換算１!L4</f>
        <v/>
      </c>
    </row>
    <row r="5" spans="1:6" ht="27" customHeight="1">
      <c r="A5" s="106" t="str">
        <f>IF(販売表!A5=0,"",販売表!A5)</f>
        <v/>
      </c>
      <c r="B5" s="21" t="str">
        <f>換算１!D5</f>
        <v/>
      </c>
      <c r="C5" s="22" t="str">
        <f>換算１!F5</f>
        <v/>
      </c>
      <c r="D5" s="22" t="str">
        <f>換算１!H5</f>
        <v/>
      </c>
      <c r="E5" s="22" t="str">
        <f>換算１!J5</f>
        <v/>
      </c>
      <c r="F5" s="22" t="str">
        <f>換算１!L5</f>
        <v/>
      </c>
    </row>
    <row r="6" spans="1:6" ht="27" customHeight="1">
      <c r="A6" s="105" t="str">
        <f>IF(販売表!A6=0,"",販売表!A6)</f>
        <v/>
      </c>
      <c r="B6" s="27" t="str">
        <f>換算１!D6</f>
        <v/>
      </c>
      <c r="C6" s="23" t="str">
        <f>換算１!F6</f>
        <v/>
      </c>
      <c r="D6" s="23" t="str">
        <f>換算１!H6</f>
        <v/>
      </c>
      <c r="E6" s="23" t="str">
        <f>換算１!J6</f>
        <v/>
      </c>
      <c r="F6" s="23" t="str">
        <f>換算１!L6</f>
        <v/>
      </c>
    </row>
    <row r="7" spans="1:6" ht="27" customHeight="1">
      <c r="A7" s="106" t="str">
        <f>IF(販売表!A7=0,"",販売表!A7)</f>
        <v/>
      </c>
      <c r="B7" s="21" t="str">
        <f>換算１!D7</f>
        <v/>
      </c>
      <c r="C7" s="22" t="str">
        <f>換算１!F7</f>
        <v/>
      </c>
      <c r="D7" s="22" t="str">
        <f>換算１!H7</f>
        <v/>
      </c>
      <c r="E7" s="22" t="str">
        <f>換算１!J7</f>
        <v/>
      </c>
      <c r="F7" s="22" t="str">
        <f>換算１!L7</f>
        <v/>
      </c>
    </row>
    <row r="8" spans="1:6" ht="27" customHeight="1">
      <c r="A8" s="105" t="str">
        <f>IF(販売表!A8=0,"",販売表!A8)</f>
        <v/>
      </c>
      <c r="B8" s="27" t="str">
        <f>換算１!D8</f>
        <v/>
      </c>
      <c r="C8" s="23" t="str">
        <f>換算１!F8</f>
        <v/>
      </c>
      <c r="D8" s="23" t="str">
        <f>換算１!H8</f>
        <v/>
      </c>
      <c r="E8" s="23" t="str">
        <f>換算１!J8</f>
        <v/>
      </c>
      <c r="F8" s="23" t="str">
        <f>換算１!L8</f>
        <v/>
      </c>
    </row>
    <row r="9" spans="1:6" ht="27" customHeight="1">
      <c r="A9" s="106" t="str">
        <f>IF(販売表!A9=0,"",販売表!A9)</f>
        <v/>
      </c>
      <c r="B9" s="21" t="str">
        <f>換算１!D9</f>
        <v/>
      </c>
      <c r="C9" s="22" t="str">
        <f>換算１!F9</f>
        <v/>
      </c>
      <c r="D9" s="22" t="str">
        <f>換算１!H9</f>
        <v/>
      </c>
      <c r="E9" s="22" t="str">
        <f>換算１!J9</f>
        <v/>
      </c>
      <c r="F9" s="22" t="str">
        <f>換算１!L9</f>
        <v/>
      </c>
    </row>
    <row r="10" spans="1:6" ht="27" customHeight="1">
      <c r="A10" s="105" t="str">
        <f>IF(販売表!A10=0,"",販売表!A10)</f>
        <v/>
      </c>
      <c r="B10" s="27" t="str">
        <f>換算１!D10</f>
        <v/>
      </c>
      <c r="C10" s="23" t="str">
        <f>換算１!F10</f>
        <v/>
      </c>
      <c r="D10" s="23" t="str">
        <f>換算１!H10</f>
        <v/>
      </c>
      <c r="E10" s="23" t="str">
        <f>換算１!J10</f>
        <v/>
      </c>
      <c r="F10" s="23" t="str">
        <f>換算１!L10</f>
        <v/>
      </c>
    </row>
    <row r="11" spans="1:6" ht="27" customHeight="1">
      <c r="A11" s="106" t="str">
        <f>IF(販売表!A11=0,"",販売表!A11)</f>
        <v/>
      </c>
      <c r="B11" s="21" t="str">
        <f>換算１!D11</f>
        <v/>
      </c>
      <c r="C11" s="22" t="str">
        <f>換算１!F11</f>
        <v/>
      </c>
      <c r="D11" s="22" t="str">
        <f>換算１!H11</f>
        <v/>
      </c>
      <c r="E11" s="22" t="str">
        <f>換算１!J11</f>
        <v/>
      </c>
      <c r="F11" s="22" t="str">
        <f>換算１!L11</f>
        <v/>
      </c>
    </row>
    <row r="12" spans="1:6" ht="27" customHeight="1">
      <c r="A12" s="105" t="str">
        <f>IF(販売表!A12=0,"",販売表!A12)</f>
        <v/>
      </c>
      <c r="B12" s="27" t="str">
        <f>換算１!D12</f>
        <v/>
      </c>
      <c r="C12" s="23" t="str">
        <f>換算１!F12</f>
        <v/>
      </c>
      <c r="D12" s="23" t="str">
        <f>換算１!H12</f>
        <v/>
      </c>
      <c r="E12" s="23" t="str">
        <f>換算１!J12</f>
        <v/>
      </c>
      <c r="F12" s="23" t="str">
        <f>換算１!L12</f>
        <v/>
      </c>
    </row>
    <row r="13" spans="1:6" ht="27" customHeight="1">
      <c r="A13" s="106" t="str">
        <f>IF(販売表!A13=0,"",販売表!A13)</f>
        <v/>
      </c>
      <c r="B13" s="21" t="str">
        <f>換算１!D13</f>
        <v/>
      </c>
      <c r="C13" s="22" t="str">
        <f>換算１!F13</f>
        <v/>
      </c>
      <c r="D13" s="22" t="str">
        <f>換算１!H13</f>
        <v/>
      </c>
      <c r="E13" s="22" t="str">
        <f>換算１!J13</f>
        <v/>
      </c>
      <c r="F13" s="22" t="str">
        <f>換算１!L13</f>
        <v/>
      </c>
    </row>
    <row r="14" spans="1:6" ht="27" customHeight="1">
      <c r="A14" s="105" t="str">
        <f>IF(販売表!A14=0,"",販売表!A14)</f>
        <v/>
      </c>
      <c r="B14" s="27" t="str">
        <f>換算１!D14</f>
        <v/>
      </c>
      <c r="C14" s="23" t="str">
        <f>換算１!F14</f>
        <v/>
      </c>
      <c r="D14" s="23" t="str">
        <f>換算１!H14</f>
        <v/>
      </c>
      <c r="E14" s="23" t="str">
        <f>換算１!J14</f>
        <v/>
      </c>
      <c r="F14" s="23" t="str">
        <f>換算１!L14</f>
        <v/>
      </c>
    </row>
    <row r="15" spans="1:6" ht="27" customHeight="1">
      <c r="A15" s="106" t="str">
        <f>IF(販売表!A15=0,"",販売表!A15)</f>
        <v/>
      </c>
      <c r="B15" s="21" t="str">
        <f>換算１!D15</f>
        <v/>
      </c>
      <c r="C15" s="22" t="str">
        <f>換算１!F15</f>
        <v/>
      </c>
      <c r="D15" s="22" t="str">
        <f>換算１!H15</f>
        <v/>
      </c>
      <c r="E15" s="22" t="str">
        <f>換算１!J15</f>
        <v/>
      </c>
      <c r="F15" s="22" t="str">
        <f>換算１!L15</f>
        <v/>
      </c>
    </row>
    <row r="16" spans="1:6" ht="27" customHeight="1">
      <c r="A16" s="105" t="str">
        <f>IF(販売表!A16=0,"",販売表!A16)</f>
        <v/>
      </c>
      <c r="B16" s="27" t="str">
        <f>換算１!D16</f>
        <v/>
      </c>
      <c r="C16" s="23" t="str">
        <f>換算１!F16</f>
        <v/>
      </c>
      <c r="D16" s="23" t="str">
        <f>換算１!H16</f>
        <v/>
      </c>
      <c r="E16" s="23" t="str">
        <f>換算１!J16</f>
        <v/>
      </c>
      <c r="F16" s="23" t="str">
        <f>換算１!L16</f>
        <v/>
      </c>
    </row>
    <row r="17" spans="1:6" ht="27" customHeight="1">
      <c r="A17" s="106" t="str">
        <f>IF(販売表!A17=0,"",販売表!A17)</f>
        <v/>
      </c>
      <c r="B17" s="21" t="str">
        <f>換算１!D17</f>
        <v/>
      </c>
      <c r="C17" s="22" t="str">
        <f>換算１!F17</f>
        <v/>
      </c>
      <c r="D17" s="22" t="str">
        <f>換算１!H17</f>
        <v/>
      </c>
      <c r="E17" s="22" t="str">
        <f>換算１!J17</f>
        <v/>
      </c>
      <c r="F17" s="22" t="str">
        <f>換算１!L17</f>
        <v/>
      </c>
    </row>
    <row r="18" spans="1:6" ht="27" customHeight="1">
      <c r="A18" s="105" t="str">
        <f>IF(販売表!A18=0,"",販売表!A18)</f>
        <v/>
      </c>
      <c r="B18" s="27" t="str">
        <f>換算１!D18</f>
        <v/>
      </c>
      <c r="C18" s="23" t="str">
        <f>換算１!F18</f>
        <v/>
      </c>
      <c r="D18" s="23" t="str">
        <f>換算１!H18</f>
        <v/>
      </c>
      <c r="E18" s="23" t="str">
        <f>換算１!J18</f>
        <v/>
      </c>
      <c r="F18" s="23" t="str">
        <f>換算１!L18</f>
        <v/>
      </c>
    </row>
    <row r="19" spans="1:6" ht="27" customHeight="1">
      <c r="A19" s="106" t="str">
        <f>IF(販売表!A19=0,"",販売表!A19)</f>
        <v/>
      </c>
      <c r="B19" s="21" t="str">
        <f>換算１!D19</f>
        <v/>
      </c>
      <c r="C19" s="22" t="str">
        <f>換算１!F19</f>
        <v/>
      </c>
      <c r="D19" s="22" t="str">
        <f>換算１!H19</f>
        <v/>
      </c>
      <c r="E19" s="22" t="str">
        <f>換算１!J19</f>
        <v/>
      </c>
      <c r="F19" s="22" t="str">
        <f>換算１!L19</f>
        <v/>
      </c>
    </row>
    <row r="20" spans="1:6" ht="27" customHeight="1">
      <c r="A20" s="105" t="str">
        <f>IF(販売表!A20=0,"",販売表!A20)</f>
        <v/>
      </c>
      <c r="B20" s="27" t="str">
        <f>換算１!D20</f>
        <v/>
      </c>
      <c r="C20" s="23" t="str">
        <f>換算１!F20</f>
        <v/>
      </c>
      <c r="D20" s="23" t="str">
        <f>換算１!H20</f>
        <v/>
      </c>
      <c r="E20" s="23" t="str">
        <f>換算１!J20</f>
        <v/>
      </c>
      <c r="F20" s="23" t="str">
        <f>換算１!L20</f>
        <v/>
      </c>
    </row>
    <row r="21" spans="1:6" ht="27" customHeight="1">
      <c r="A21" s="106" t="str">
        <f>IF(販売表!A21=0,"",販売表!A21)</f>
        <v/>
      </c>
      <c r="B21" s="21" t="str">
        <f>換算１!D21</f>
        <v/>
      </c>
      <c r="C21" s="22" t="str">
        <f>換算１!F21</f>
        <v/>
      </c>
      <c r="D21" s="22" t="str">
        <f>換算１!H21</f>
        <v/>
      </c>
      <c r="E21" s="22" t="str">
        <f>換算１!J21</f>
        <v/>
      </c>
      <c r="F21" s="22" t="str">
        <f>換算１!L21</f>
        <v/>
      </c>
    </row>
    <row r="22" spans="1:6" ht="24.75" customHeight="1">
      <c r="A22" s="105" t="str">
        <f>IF(販売表!A22=0,"",販売表!A22)</f>
        <v/>
      </c>
      <c r="B22" s="27" t="str">
        <f>換算１!D22</f>
        <v/>
      </c>
      <c r="C22" s="23" t="str">
        <f>換算１!F22</f>
        <v/>
      </c>
      <c r="D22" s="23" t="str">
        <f>換算１!H22</f>
        <v/>
      </c>
      <c r="E22" s="23" t="str">
        <f>換算１!J22</f>
        <v/>
      </c>
      <c r="F22" s="23" t="str">
        <f>換算１!L22</f>
        <v/>
      </c>
    </row>
    <row r="23" spans="1:6" ht="27" customHeight="1">
      <c r="A23" s="106" t="str">
        <f>IF(販売表!A23=0,"",販売表!A23)</f>
        <v/>
      </c>
      <c r="B23" s="21" t="str">
        <f>換算１!D23</f>
        <v/>
      </c>
      <c r="C23" s="22" t="str">
        <f>換算１!F23</f>
        <v/>
      </c>
      <c r="D23" s="22" t="str">
        <f>換算１!H23</f>
        <v/>
      </c>
      <c r="E23" s="22" t="str">
        <f>換算１!J23</f>
        <v/>
      </c>
      <c r="F23" s="22" t="str">
        <f>換算１!L23</f>
        <v/>
      </c>
    </row>
    <row r="24" spans="1:6" ht="27" customHeight="1">
      <c r="A24" s="105" t="str">
        <f>IF(販売表!A24=0,"",販売表!A24)</f>
        <v/>
      </c>
      <c r="B24" s="27" t="str">
        <f>換算１!D24</f>
        <v/>
      </c>
      <c r="C24" s="23" t="str">
        <f>換算１!F24</f>
        <v/>
      </c>
      <c r="D24" s="23" t="str">
        <f>換算１!H24</f>
        <v/>
      </c>
      <c r="E24" s="23" t="str">
        <f>換算１!J24</f>
        <v/>
      </c>
      <c r="F24" s="23" t="str">
        <f>換算１!L24</f>
        <v/>
      </c>
    </row>
    <row r="25" spans="1:6" ht="27" customHeight="1">
      <c r="A25" s="106" t="str">
        <f>IF(販売表!A25=0,"",販売表!A25)</f>
        <v/>
      </c>
      <c r="B25" s="21" t="str">
        <f>換算１!D25</f>
        <v/>
      </c>
      <c r="C25" s="22" t="str">
        <f>換算１!F25</f>
        <v/>
      </c>
      <c r="D25" s="22" t="str">
        <f>換算１!H25</f>
        <v/>
      </c>
      <c r="E25" s="22" t="str">
        <f>換算１!J25</f>
        <v/>
      </c>
      <c r="F25" s="22" t="str">
        <f>換算１!L25</f>
        <v/>
      </c>
    </row>
    <row r="26" spans="1:6" ht="27" customHeight="1">
      <c r="A26" s="105" t="str">
        <f>IF(販売表!A26=0,"",販売表!A26)</f>
        <v/>
      </c>
      <c r="B26" s="27" t="str">
        <f>換算１!D26</f>
        <v/>
      </c>
      <c r="C26" s="23" t="str">
        <f>換算１!F26</f>
        <v/>
      </c>
      <c r="D26" s="23" t="str">
        <f>換算１!H26</f>
        <v/>
      </c>
      <c r="E26" s="23" t="str">
        <f>換算１!J26</f>
        <v/>
      </c>
      <c r="F26" s="23" t="str">
        <f>換算１!L26</f>
        <v/>
      </c>
    </row>
    <row r="27" spans="1:6" ht="27" customHeight="1">
      <c r="A27" s="106" t="str">
        <f>IF(販売表!A27=0,"",販売表!A27)</f>
        <v/>
      </c>
      <c r="B27" s="21" t="str">
        <f>換算１!D27</f>
        <v/>
      </c>
      <c r="C27" s="22" t="str">
        <f>換算１!F27</f>
        <v/>
      </c>
      <c r="D27" s="22" t="str">
        <f>換算１!H27</f>
        <v/>
      </c>
      <c r="E27" s="22" t="str">
        <f>換算１!J27</f>
        <v/>
      </c>
      <c r="F27" s="22" t="str">
        <f>換算１!L27</f>
        <v/>
      </c>
    </row>
    <row r="28" spans="1:6" ht="27" customHeight="1">
      <c r="A28" s="105" t="str">
        <f>IF(販売表!A28=0,"",販売表!A28)</f>
        <v/>
      </c>
      <c r="B28" s="27" t="str">
        <f>換算１!D28</f>
        <v/>
      </c>
      <c r="C28" s="23" t="str">
        <f>換算１!F28</f>
        <v/>
      </c>
      <c r="D28" s="23" t="str">
        <f>換算１!H28</f>
        <v/>
      </c>
      <c r="E28" s="23" t="str">
        <f>換算１!J28</f>
        <v/>
      </c>
      <c r="F28" s="23" t="str">
        <f>換算１!L28</f>
        <v/>
      </c>
    </row>
    <row r="29" spans="1:6" ht="27" customHeight="1">
      <c r="A29" s="106" t="str">
        <f>IF(販売表!A29=0,"",販売表!A29)</f>
        <v/>
      </c>
      <c r="B29" s="21" t="str">
        <f>換算１!D29</f>
        <v/>
      </c>
      <c r="C29" s="22" t="str">
        <f>換算１!F29</f>
        <v/>
      </c>
      <c r="D29" s="22" t="str">
        <f>換算１!H29</f>
        <v/>
      </c>
      <c r="E29" s="22" t="str">
        <f>換算１!J29</f>
        <v/>
      </c>
      <c r="F29" s="22" t="str">
        <f>換算１!L29</f>
        <v/>
      </c>
    </row>
    <row r="30" spans="1:6" ht="27" customHeight="1">
      <c r="A30" s="105" t="str">
        <f>IF(販売表!A30=0,"",販売表!A30)</f>
        <v/>
      </c>
      <c r="B30" s="27" t="str">
        <f>換算１!D30</f>
        <v/>
      </c>
      <c r="C30" s="23" t="str">
        <f>換算１!F30</f>
        <v/>
      </c>
      <c r="D30" s="23" t="str">
        <f>換算１!H30</f>
        <v/>
      </c>
      <c r="E30" s="23" t="str">
        <f>換算１!J30</f>
        <v/>
      </c>
      <c r="F30" s="23" t="str">
        <f>換算１!L30</f>
        <v/>
      </c>
    </row>
    <row r="31" spans="1:6" ht="27" customHeight="1">
      <c r="A31" s="106" t="str">
        <f>IF(販売表!A31=0,"",販売表!A31)</f>
        <v/>
      </c>
      <c r="B31" s="21" t="str">
        <f>換算１!D31</f>
        <v/>
      </c>
      <c r="C31" s="22" t="str">
        <f>換算１!F31</f>
        <v/>
      </c>
      <c r="D31" s="22" t="str">
        <f>換算１!H31</f>
        <v/>
      </c>
      <c r="E31" s="22" t="str">
        <f>換算１!J31</f>
        <v/>
      </c>
      <c r="F31" s="22" t="str">
        <f>換算１!L31</f>
        <v/>
      </c>
    </row>
    <row r="32" spans="1:6" ht="27" customHeight="1">
      <c r="A32" s="105" t="str">
        <f>IF(販売表!A32=0,"",販売表!A32)</f>
        <v/>
      </c>
      <c r="B32" s="27" t="str">
        <f>換算１!D32</f>
        <v/>
      </c>
      <c r="C32" s="23" t="str">
        <f>換算１!F32</f>
        <v/>
      </c>
      <c r="D32" s="23" t="str">
        <f>換算１!H32</f>
        <v/>
      </c>
      <c r="E32" s="23" t="str">
        <f>換算１!J32</f>
        <v/>
      </c>
      <c r="F32" s="23" t="str">
        <f>換算１!L32</f>
        <v/>
      </c>
    </row>
    <row r="33" spans="1:8" ht="27" customHeight="1">
      <c r="A33" s="106" t="str">
        <f>IF(販売表!A33=0,"",販売表!A33)</f>
        <v/>
      </c>
      <c r="B33" s="21" t="str">
        <f>換算１!D33</f>
        <v/>
      </c>
      <c r="C33" s="22" t="str">
        <f>換算１!F33</f>
        <v/>
      </c>
      <c r="D33" s="22" t="str">
        <f>換算１!H33</f>
        <v/>
      </c>
      <c r="E33" s="22" t="str">
        <f>換算１!J33</f>
        <v/>
      </c>
      <c r="F33" s="22" t="str">
        <f>換算１!L33</f>
        <v/>
      </c>
    </row>
    <row r="34" spans="1:8" ht="27" customHeight="1">
      <c r="A34" s="105" t="str">
        <f>IF(販売表!A34=0,"",販売表!A34)</f>
        <v/>
      </c>
      <c r="B34" s="27" t="str">
        <f>換算１!D34</f>
        <v/>
      </c>
      <c r="C34" s="23" t="str">
        <f>換算１!F34</f>
        <v/>
      </c>
      <c r="D34" s="23" t="str">
        <f>換算１!H34</f>
        <v/>
      </c>
      <c r="E34" s="23" t="str">
        <f>換算１!J34</f>
        <v/>
      </c>
      <c r="F34" s="23" t="str">
        <f>換算１!L34</f>
        <v/>
      </c>
    </row>
    <row r="35" spans="1:8" ht="27" customHeight="1">
      <c r="A35" s="106" t="str">
        <f>IF(販売表!A35=0,"",販売表!A35)</f>
        <v/>
      </c>
      <c r="B35" s="21" t="str">
        <f>換算１!D35</f>
        <v/>
      </c>
      <c r="C35" s="22" t="str">
        <f>換算１!F35</f>
        <v/>
      </c>
      <c r="D35" s="22" t="str">
        <f>換算１!H35</f>
        <v/>
      </c>
      <c r="E35" s="22" t="str">
        <f>換算１!J35</f>
        <v/>
      </c>
      <c r="F35" s="22" t="str">
        <f>換算１!L35</f>
        <v/>
      </c>
    </row>
    <row r="36" spans="1:8" ht="27" customHeight="1">
      <c r="A36" s="105" t="str">
        <f>IF(販売表!A36=0,"",販売表!A36)</f>
        <v/>
      </c>
      <c r="B36" s="27" t="str">
        <f>換算１!D36</f>
        <v/>
      </c>
      <c r="C36" s="23" t="str">
        <f>換算１!F36</f>
        <v/>
      </c>
      <c r="D36" s="23" t="str">
        <f>換算１!H36</f>
        <v/>
      </c>
      <c r="E36" s="23" t="str">
        <f>換算１!J36</f>
        <v/>
      </c>
      <c r="F36" s="23" t="str">
        <f>換算１!L36</f>
        <v/>
      </c>
    </row>
    <row r="37" spans="1:8" ht="27" customHeight="1">
      <c r="A37" s="106" t="str">
        <f>IF(販売表!A37=0,"",販売表!A37)</f>
        <v/>
      </c>
      <c r="B37" s="21" t="str">
        <f>換算１!D37</f>
        <v/>
      </c>
      <c r="C37" s="22" t="str">
        <f>換算１!F37</f>
        <v/>
      </c>
      <c r="D37" s="22" t="str">
        <f>換算１!H37</f>
        <v/>
      </c>
      <c r="E37" s="22" t="str">
        <f>換算１!J37</f>
        <v/>
      </c>
      <c r="F37" s="22" t="str">
        <f>換算１!L37</f>
        <v/>
      </c>
    </row>
    <row r="38" spans="1:8" ht="27" customHeight="1">
      <c r="A38" s="105" t="str">
        <f>IF(販売表!A38=0,"",販売表!A38)</f>
        <v/>
      </c>
      <c r="B38" s="27" t="str">
        <f>換算１!D38</f>
        <v/>
      </c>
      <c r="C38" s="23" t="str">
        <f>換算１!F38</f>
        <v/>
      </c>
      <c r="D38" s="23" t="str">
        <f>換算１!H38</f>
        <v/>
      </c>
      <c r="E38" s="23" t="str">
        <f>換算１!J38</f>
        <v/>
      </c>
      <c r="F38" s="23" t="str">
        <f>換算１!L38</f>
        <v/>
      </c>
    </row>
    <row r="39" spans="1:8" ht="27" customHeight="1">
      <c r="A39" s="106" t="str">
        <f>IF(販売表!A39=0,"",販売表!A39)</f>
        <v/>
      </c>
      <c r="B39" s="21" t="str">
        <f>換算１!D39</f>
        <v/>
      </c>
      <c r="C39" s="22" t="str">
        <f>換算１!F39</f>
        <v/>
      </c>
      <c r="D39" s="22" t="str">
        <f>換算１!H39</f>
        <v/>
      </c>
      <c r="E39" s="22" t="str">
        <f>換算１!J39</f>
        <v/>
      </c>
      <c r="F39" s="22" t="str">
        <f>換算１!L39</f>
        <v/>
      </c>
    </row>
    <row r="40" spans="1:8" ht="27" customHeight="1">
      <c r="A40" s="105" t="str">
        <f>IF(販売表!A40=0,"",販売表!A40)</f>
        <v/>
      </c>
      <c r="B40" s="27" t="str">
        <f>換算１!D40</f>
        <v/>
      </c>
      <c r="C40" s="23" t="str">
        <f>換算１!F40</f>
        <v/>
      </c>
      <c r="D40" s="23" t="str">
        <f>換算１!H40</f>
        <v/>
      </c>
      <c r="E40" s="23" t="str">
        <f>換算１!J40</f>
        <v/>
      </c>
      <c r="F40" s="23" t="str">
        <f>換算１!L40</f>
        <v/>
      </c>
      <c r="H40">
        <v>7</v>
      </c>
    </row>
    <row r="41" spans="1:8" ht="27" customHeight="1">
      <c r="A41" s="106" t="str">
        <f>IF(販売表!A41=0,"",販売表!A41)</f>
        <v/>
      </c>
      <c r="B41" s="21" t="str">
        <f>換算１!D41</f>
        <v/>
      </c>
      <c r="C41" s="22" t="str">
        <f>換算１!F41</f>
        <v/>
      </c>
      <c r="D41" s="22" t="str">
        <f>換算１!H41</f>
        <v/>
      </c>
      <c r="E41" s="22" t="str">
        <f>換算１!J41</f>
        <v/>
      </c>
      <c r="F41" s="22" t="str">
        <f>換算１!L41</f>
        <v/>
      </c>
    </row>
    <row r="42" spans="1:8" ht="27" customHeight="1">
      <c r="A42" s="105" t="str">
        <f>IF(販売表!A42=0,"",販売表!A42)</f>
        <v/>
      </c>
      <c r="B42" s="27" t="str">
        <f>換算１!D42</f>
        <v/>
      </c>
      <c r="C42" s="23" t="str">
        <f>換算１!F42</f>
        <v/>
      </c>
      <c r="D42" s="23" t="str">
        <f>換算１!H42</f>
        <v/>
      </c>
      <c r="E42" s="23" t="str">
        <f>換算１!J42</f>
        <v/>
      </c>
      <c r="F42" s="23" t="str">
        <f>換算１!L42</f>
        <v/>
      </c>
    </row>
    <row r="43" spans="1:8" s="254" customFormat="1" ht="27" customHeight="1">
      <c r="A43" s="106" t="str">
        <f>IF(販売表!A43=0,"",販売表!A43)</f>
        <v/>
      </c>
      <c r="B43" s="21" t="str">
        <f>換算１!D43</f>
        <v/>
      </c>
      <c r="C43" s="22" t="str">
        <f>換算１!F43</f>
        <v/>
      </c>
      <c r="D43" s="22" t="str">
        <f>換算１!H43</f>
        <v/>
      </c>
      <c r="E43" s="22" t="str">
        <f>換算１!J43</f>
        <v/>
      </c>
      <c r="F43" s="22" t="str">
        <f>換算１!L43</f>
        <v/>
      </c>
    </row>
    <row r="44" spans="1:8" s="254" customFormat="1" ht="27" customHeight="1">
      <c r="A44" s="105" t="str">
        <f>IF(販売表!A44=0,"",販売表!A44)</f>
        <v/>
      </c>
      <c r="B44" s="27" t="str">
        <f>換算１!D44</f>
        <v/>
      </c>
      <c r="C44" s="23" t="str">
        <f>換算１!F44</f>
        <v/>
      </c>
      <c r="D44" s="23" t="str">
        <f>換算１!H44</f>
        <v/>
      </c>
      <c r="E44" s="23" t="str">
        <f>換算１!J44</f>
        <v/>
      </c>
      <c r="F44" s="23" t="str">
        <f>換算１!L44</f>
        <v/>
      </c>
    </row>
    <row r="45" spans="1:8" s="254" customFormat="1" ht="27" customHeight="1">
      <c r="A45" s="106" t="str">
        <f>IF(販売表!A45=0,"",販売表!A45)</f>
        <v/>
      </c>
      <c r="B45" s="21" t="str">
        <f>換算１!D45</f>
        <v/>
      </c>
      <c r="C45" s="22" t="str">
        <f>換算１!F45</f>
        <v/>
      </c>
      <c r="D45" s="22" t="str">
        <f>換算１!H45</f>
        <v/>
      </c>
      <c r="E45" s="22" t="str">
        <f>換算１!J45</f>
        <v/>
      </c>
      <c r="F45" s="22" t="str">
        <f>換算１!L45</f>
        <v/>
      </c>
    </row>
    <row r="46" spans="1:8" s="254" customFormat="1" ht="27" customHeight="1">
      <c r="A46" s="105" t="str">
        <f>IF(販売表!A46=0,"",販売表!A46)</f>
        <v/>
      </c>
      <c r="B46" s="27" t="str">
        <f>換算１!D46</f>
        <v/>
      </c>
      <c r="C46" s="23" t="str">
        <f>換算１!F46</f>
        <v/>
      </c>
      <c r="D46" s="23" t="str">
        <f>換算１!H46</f>
        <v/>
      </c>
      <c r="E46" s="23" t="str">
        <f>換算１!J46</f>
        <v/>
      </c>
      <c r="F46" s="23" t="str">
        <f>換算１!L46</f>
        <v/>
      </c>
    </row>
    <row r="47" spans="1:8" s="254" customFormat="1" ht="27" customHeight="1">
      <c r="A47" s="106" t="str">
        <f>IF(販売表!A47=0,"",販売表!A47)</f>
        <v/>
      </c>
      <c r="B47" s="21" t="str">
        <f>換算１!D47</f>
        <v/>
      </c>
      <c r="C47" s="22" t="str">
        <f>換算１!F47</f>
        <v/>
      </c>
      <c r="D47" s="22" t="str">
        <f>換算１!H47</f>
        <v/>
      </c>
      <c r="E47" s="22" t="str">
        <f>換算１!J47</f>
        <v/>
      </c>
      <c r="F47" s="22" t="str">
        <f>換算１!L47</f>
        <v/>
      </c>
    </row>
    <row r="48" spans="1:8" s="254" customFormat="1" ht="27" customHeight="1">
      <c r="A48" s="105" t="str">
        <f>IF(販売表!A48=0,"",販売表!A48)</f>
        <v/>
      </c>
      <c r="B48" s="27" t="str">
        <f>換算１!D48</f>
        <v/>
      </c>
      <c r="C48" s="23" t="str">
        <f>換算１!F48</f>
        <v/>
      </c>
      <c r="D48" s="23" t="str">
        <f>換算１!H48</f>
        <v/>
      </c>
      <c r="E48" s="23" t="str">
        <f>換算１!J48</f>
        <v/>
      </c>
      <c r="F48" s="23" t="str">
        <f>換算１!L48</f>
        <v/>
      </c>
    </row>
    <row r="49" spans="1:7" s="254" customFormat="1" ht="27" customHeight="1">
      <c r="A49" s="106" t="str">
        <f>IF(販売表!A49=0,"",販売表!A49)</f>
        <v/>
      </c>
      <c r="B49" s="21" t="str">
        <f>換算１!D49</f>
        <v/>
      </c>
      <c r="C49" s="22" t="str">
        <f>換算１!F49</f>
        <v/>
      </c>
      <c r="D49" s="22" t="str">
        <f>換算１!H49</f>
        <v/>
      </c>
      <c r="E49" s="22" t="str">
        <f>換算１!J49</f>
        <v/>
      </c>
      <c r="F49" s="22" t="str">
        <f>換算１!L49</f>
        <v/>
      </c>
    </row>
    <row r="50" spans="1:7" ht="27" customHeight="1">
      <c r="A50" s="105" t="str">
        <f>IF(販売表!A50=0,"",販売表!A50)</f>
        <v/>
      </c>
      <c r="B50" s="27" t="str">
        <f>換算１!D50</f>
        <v/>
      </c>
      <c r="C50" s="23" t="str">
        <f>換算１!F50</f>
        <v/>
      </c>
      <c r="D50" s="23" t="str">
        <f>換算１!H50</f>
        <v/>
      </c>
      <c r="E50" s="23" t="str">
        <f>換算１!J50</f>
        <v/>
      </c>
      <c r="F50" s="23" t="str">
        <f>換算１!L50</f>
        <v/>
      </c>
    </row>
    <row r="51" spans="1:7" ht="27" customHeight="1">
      <c r="A51" s="106" t="str">
        <f>IF(販売表!A51=0,"",販売表!A51)</f>
        <v/>
      </c>
      <c r="B51" s="21" t="str">
        <f>換算１!D51</f>
        <v/>
      </c>
      <c r="C51" s="22" t="str">
        <f>換算１!F51</f>
        <v/>
      </c>
      <c r="D51" s="22" t="str">
        <f>換算１!H51</f>
        <v/>
      </c>
      <c r="E51" s="22" t="str">
        <f>換算１!J51</f>
        <v/>
      </c>
      <c r="F51" s="22" t="str">
        <f>換算１!L51</f>
        <v/>
      </c>
    </row>
    <row r="52" spans="1:7" ht="27" customHeight="1">
      <c r="A52" s="105" t="str">
        <f>IF(販売表!A52=0,"",販売表!A52)</f>
        <v/>
      </c>
      <c r="B52" s="27" t="str">
        <f>換算１!D52</f>
        <v/>
      </c>
      <c r="C52" s="23" t="str">
        <f>換算１!F52</f>
        <v/>
      </c>
      <c r="D52" s="23" t="str">
        <f>換算１!H52</f>
        <v/>
      </c>
      <c r="E52" s="23" t="str">
        <f>換算１!J52</f>
        <v/>
      </c>
      <c r="F52" s="23" t="str">
        <f>換算１!L52</f>
        <v/>
      </c>
    </row>
    <row r="53" spans="1:7" ht="27" customHeight="1">
      <c r="A53" s="20" t="str">
        <f>IF(販売表!A53=0,"",販売表!A53)</f>
        <v/>
      </c>
      <c r="B53" s="21" t="str">
        <f>換算１!D53</f>
        <v/>
      </c>
      <c r="C53" s="22" t="str">
        <f>換算１!F53</f>
        <v/>
      </c>
      <c r="D53" s="22" t="str">
        <f>換算１!H53</f>
        <v/>
      </c>
      <c r="E53" s="22" t="str">
        <f>換算１!J53</f>
        <v/>
      </c>
      <c r="F53" s="22" t="str">
        <f>換算１!L53</f>
        <v/>
      </c>
    </row>
    <row r="54" spans="1:7" ht="27" customHeight="1">
      <c r="A54" s="26" t="str">
        <f>IF(販売表!A54=0,"",販売表!A54)</f>
        <v/>
      </c>
      <c r="B54" s="27" t="str">
        <f>換算１!D54</f>
        <v/>
      </c>
      <c r="C54" s="23" t="str">
        <f>換算１!F54</f>
        <v/>
      </c>
      <c r="D54" s="23" t="str">
        <f>換算１!H54</f>
        <v/>
      </c>
      <c r="E54" s="23" t="str">
        <f>換算１!J54</f>
        <v/>
      </c>
      <c r="F54" s="23" t="str">
        <f>換算１!L54</f>
        <v/>
      </c>
    </row>
    <row r="55" spans="1:7" ht="27" customHeight="1">
      <c r="A55" s="20" t="str">
        <f>IF(販売表!A55=0,"",販売表!A55)</f>
        <v/>
      </c>
      <c r="B55" s="21" t="str">
        <f>換算１!D55</f>
        <v/>
      </c>
      <c r="C55" s="22" t="str">
        <f>換算１!F55</f>
        <v/>
      </c>
      <c r="D55" s="22" t="str">
        <f>換算１!H55</f>
        <v/>
      </c>
      <c r="E55" s="22" t="str">
        <f>換算１!J55</f>
        <v/>
      </c>
      <c r="F55" s="22" t="str">
        <f>換算１!L55</f>
        <v/>
      </c>
    </row>
    <row r="56" spans="1:7" ht="27" customHeight="1">
      <c r="A56" s="26" t="str">
        <f>IF(販売表!A56=0,"",販売表!A56)</f>
        <v/>
      </c>
      <c r="B56" s="23" t="str">
        <f>換算１!D56</f>
        <v/>
      </c>
      <c r="C56" s="23" t="str">
        <f>換算１!F56</f>
        <v/>
      </c>
      <c r="D56" s="23" t="str">
        <f>換算１!H56</f>
        <v/>
      </c>
      <c r="E56" s="23" t="str">
        <f>換算１!J56</f>
        <v/>
      </c>
      <c r="F56" s="23" t="str">
        <f>換算１!L56</f>
        <v/>
      </c>
    </row>
    <row r="57" spans="1:7" ht="27" customHeight="1">
      <c r="A57" s="20" t="str">
        <f>IF(販売表!A57=0,"",販売表!A57)</f>
        <v/>
      </c>
      <c r="B57" s="21" t="str">
        <f>換算１!D57</f>
        <v/>
      </c>
      <c r="C57" s="22" t="str">
        <f>換算１!F57</f>
        <v/>
      </c>
      <c r="D57" s="22" t="str">
        <f>換算１!H57</f>
        <v/>
      </c>
      <c r="E57" s="22" t="str">
        <f>換算１!J57</f>
        <v/>
      </c>
      <c r="F57" s="22" t="str">
        <f>換算１!L57</f>
        <v/>
      </c>
    </row>
    <row r="58" spans="1:7" ht="27" customHeight="1">
      <c r="A58" s="147" t="s">
        <v>7</v>
      </c>
      <c r="B58" s="148">
        <f>SUM(B4:B57)</f>
        <v>0</v>
      </c>
      <c r="C58" s="148">
        <f t="shared" ref="C58:F58" si="0">SUM(C4:C57)</f>
        <v>0</v>
      </c>
      <c r="D58" s="148">
        <f t="shared" si="0"/>
        <v>0</v>
      </c>
      <c r="E58" s="148">
        <f t="shared" si="0"/>
        <v>0</v>
      </c>
      <c r="F58" s="148">
        <f t="shared" si="0"/>
        <v>0</v>
      </c>
    </row>
    <row r="59" spans="1:7" ht="21.75" customHeight="1">
      <c r="A59" s="7"/>
      <c r="B59" s="149" t="str">
        <f>B3</f>
        <v>営業所A</v>
      </c>
      <c r="C59" s="144" t="str">
        <f t="shared" ref="C59:F59" si="1">C3</f>
        <v>営業所B</v>
      </c>
      <c r="D59" s="25" t="str">
        <f t="shared" si="1"/>
        <v>営業所C</v>
      </c>
      <c r="E59" s="145" t="str">
        <f t="shared" si="1"/>
        <v>営業所D</v>
      </c>
      <c r="F59" s="146" t="str">
        <f t="shared" si="1"/>
        <v>営業所E</v>
      </c>
    </row>
    <row r="60" spans="1:7" ht="33.75" customHeight="1">
      <c r="B60" s="310" t="s">
        <v>3</v>
      </c>
      <c r="C60" s="310"/>
      <c r="D60" s="150">
        <f>SUM(B58:F58)</f>
        <v>0</v>
      </c>
      <c r="E60" s="10"/>
    </row>
    <row r="61" spans="1:7" ht="11.25" customHeight="1"/>
    <row r="62" spans="1:7" ht="12.75" customHeight="1"/>
    <row r="64" spans="1:7" ht="25.5">
      <c r="G64" s="255"/>
    </row>
    <row r="73" ht="23.25" customHeight="1"/>
  </sheetData>
  <mergeCells count="3">
    <mergeCell ref="B60:C60"/>
    <mergeCell ref="A1:B1"/>
    <mergeCell ref="C1:E1"/>
  </mergeCells>
  <phoneticPr fontId="2"/>
  <pageMargins left="0.25" right="0.25" top="0.25" bottom="0.26" header="0.2" footer="0.3"/>
  <pageSetup paperSize="9" scale="54" orientation="portrait" r:id="rId1"/>
  <headerFooter>
    <oddFooter>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FFB6-87F8-492E-859B-AE325E262874}">
  <sheetPr>
    <tabColor rgb="FF00B0F0"/>
  </sheetPr>
  <dimension ref="A1:I97"/>
  <sheetViews>
    <sheetView zoomScaleNormal="100" workbookViewId="0">
      <pane ySplit="2" topLeftCell="A3" activePane="bottomLeft" state="frozen"/>
      <selection pane="bottomLeft"/>
    </sheetView>
  </sheetViews>
  <sheetFormatPr defaultRowHeight="13.5"/>
  <cols>
    <col min="1" max="1" width="43" customWidth="1"/>
    <col min="2" max="2" width="8.75" customWidth="1"/>
    <col min="3" max="3" width="7.375" customWidth="1"/>
    <col min="4" max="4" width="7.625" customWidth="1"/>
    <col min="5" max="5" width="9" customWidth="1"/>
    <col min="6" max="7" width="7.625" customWidth="1"/>
    <col min="9" max="9" width="9" customWidth="1"/>
  </cols>
  <sheetData>
    <row r="1" spans="1:9" ht="25.5" customHeight="1">
      <c r="A1" s="69">
        <f>販売表!A1</f>
        <v>0</v>
      </c>
      <c r="B1" s="313" t="s">
        <v>20</v>
      </c>
      <c r="C1" s="313"/>
      <c r="D1" s="131"/>
      <c r="E1" s="314"/>
      <c r="F1" s="315"/>
      <c r="G1" s="131"/>
      <c r="H1" s="316"/>
      <c r="I1" s="316"/>
    </row>
    <row r="2" spans="1:9" ht="15.95" customHeight="1" thickBot="1">
      <c r="A2" s="70"/>
      <c r="B2" s="200" t="s">
        <v>21</v>
      </c>
      <c r="C2" s="199" t="s">
        <v>22</v>
      </c>
      <c r="D2" s="198" t="s">
        <v>48</v>
      </c>
      <c r="E2" s="107" t="s">
        <v>23</v>
      </c>
      <c r="F2" s="72" t="s">
        <v>24</v>
      </c>
      <c r="G2" s="73" t="s">
        <v>25</v>
      </c>
      <c r="H2" s="71" t="s">
        <v>26</v>
      </c>
      <c r="I2" s="4" t="s">
        <v>27</v>
      </c>
    </row>
    <row r="3" spans="1:9" ht="15.95" customHeight="1" thickBot="1">
      <c r="A3" s="74" t="str">
        <f>IF(販売表!A4=0,"",販売表!A4)</f>
        <v/>
      </c>
      <c r="B3" s="108" t="str">
        <f>IF(A3="","",販売表!B4)</f>
        <v/>
      </c>
      <c r="C3" s="75"/>
      <c r="D3" s="76"/>
      <c r="E3" s="107" t="str">
        <f t="shared" ref="E3:E55" si="0">IF(A3="","",B3*C3+D3)</f>
        <v/>
      </c>
      <c r="F3" s="75"/>
      <c r="G3" s="77"/>
      <c r="H3" s="78"/>
      <c r="I3" s="79"/>
    </row>
    <row r="4" spans="1:9" ht="15.95" customHeight="1" thickBot="1">
      <c r="A4" s="74" t="str">
        <f>IF(販売表!A5=0,"",販売表!A5)</f>
        <v/>
      </c>
      <c r="B4" s="108" t="str">
        <f>IF(A4="","",販売表!B5)</f>
        <v/>
      </c>
      <c r="C4" s="75"/>
      <c r="D4" s="76"/>
      <c r="E4" s="107" t="str">
        <f t="shared" si="0"/>
        <v/>
      </c>
      <c r="F4" s="75"/>
      <c r="G4" s="77"/>
      <c r="H4" s="78"/>
      <c r="I4" s="79"/>
    </row>
    <row r="5" spans="1:9" ht="15.95" customHeight="1" thickBot="1">
      <c r="A5" s="74" t="str">
        <f>IF(販売表!A6=0,"",販売表!A6)</f>
        <v/>
      </c>
      <c r="B5" s="108" t="str">
        <f>IF(A5="","",販売表!B6)</f>
        <v/>
      </c>
      <c r="C5" s="75"/>
      <c r="D5" s="76"/>
      <c r="E5" s="107" t="str">
        <f t="shared" si="0"/>
        <v/>
      </c>
      <c r="F5" s="75"/>
      <c r="G5" s="77"/>
      <c r="H5" s="78"/>
      <c r="I5" s="79"/>
    </row>
    <row r="6" spans="1:9" ht="15.95" customHeight="1" thickBot="1">
      <c r="A6" s="74" t="str">
        <f>IF(販売表!A7=0,"",販売表!A7)</f>
        <v/>
      </c>
      <c r="B6" s="108" t="str">
        <f>IF(A6="","",販売表!B7)</f>
        <v/>
      </c>
      <c r="C6" s="75"/>
      <c r="D6" s="76"/>
      <c r="E6" s="107" t="str">
        <f t="shared" si="0"/>
        <v/>
      </c>
      <c r="F6" s="75"/>
      <c r="G6" s="77"/>
      <c r="H6" s="78"/>
      <c r="I6" s="79"/>
    </row>
    <row r="7" spans="1:9" ht="15.95" customHeight="1" thickBot="1">
      <c r="A7" s="74" t="str">
        <f>IF(販売表!A8=0,"",販売表!A8)</f>
        <v/>
      </c>
      <c r="B7" s="108" t="str">
        <f>IF(A7="","",販売表!B8)</f>
        <v/>
      </c>
      <c r="C7" s="75"/>
      <c r="D7" s="76"/>
      <c r="E7" s="107" t="str">
        <f t="shared" si="0"/>
        <v/>
      </c>
      <c r="F7" s="75"/>
      <c r="G7" s="77"/>
      <c r="H7" s="78"/>
      <c r="I7" s="79"/>
    </row>
    <row r="8" spans="1:9" ht="15.95" customHeight="1" thickBot="1">
      <c r="A8" s="74" t="str">
        <f>IF(販売表!A9=0,"",販売表!A9)</f>
        <v/>
      </c>
      <c r="B8" s="108" t="str">
        <f>IF(A8="","",販売表!B9)</f>
        <v/>
      </c>
      <c r="C8" s="75"/>
      <c r="D8" s="76"/>
      <c r="E8" s="107" t="str">
        <f t="shared" si="0"/>
        <v/>
      </c>
      <c r="F8" s="75"/>
      <c r="G8" s="77"/>
      <c r="H8" s="78"/>
      <c r="I8" s="79"/>
    </row>
    <row r="9" spans="1:9" ht="15.95" customHeight="1" thickBot="1">
      <c r="A9" s="74" t="str">
        <f>IF(販売表!A10=0,"",販売表!A10)</f>
        <v/>
      </c>
      <c r="B9" s="108" t="str">
        <f>IF(A9="","",販売表!B10)</f>
        <v/>
      </c>
      <c r="C9" s="75"/>
      <c r="D9" s="76"/>
      <c r="E9" s="107" t="str">
        <f t="shared" si="0"/>
        <v/>
      </c>
      <c r="F9" s="75"/>
      <c r="G9" s="77"/>
      <c r="H9" s="78"/>
      <c r="I9" s="79"/>
    </row>
    <row r="10" spans="1:9" ht="15.95" customHeight="1" thickBot="1">
      <c r="A10" s="161" t="str">
        <f>IF(販売表!A11=0,"",販売表!A11)</f>
        <v/>
      </c>
      <c r="B10" s="162" t="str">
        <f>IF(A10="","",販売表!B11)</f>
        <v/>
      </c>
      <c r="C10" s="163"/>
      <c r="D10" s="76"/>
      <c r="E10" s="107" t="str">
        <f t="shared" si="0"/>
        <v/>
      </c>
      <c r="F10" s="163"/>
      <c r="G10" s="165"/>
      <c r="H10" s="166"/>
      <c r="I10" s="167"/>
    </row>
    <row r="11" spans="1:9" ht="15.95" customHeight="1" thickBot="1">
      <c r="A11" s="161" t="str">
        <f>IF(販売表!A12=0,"",販売表!A12)</f>
        <v/>
      </c>
      <c r="B11" s="162" t="str">
        <f>IF(A11="","",販売表!B12)</f>
        <v/>
      </c>
      <c r="C11" s="163"/>
      <c r="D11" s="76"/>
      <c r="E11" s="107" t="str">
        <f t="shared" si="0"/>
        <v/>
      </c>
      <c r="F11" s="163"/>
      <c r="G11" s="165"/>
      <c r="H11" s="166"/>
      <c r="I11" s="167"/>
    </row>
    <row r="12" spans="1:9" ht="15.95" customHeight="1" thickBot="1">
      <c r="A12" s="161" t="str">
        <f>IF(販売表!A13=0,"",販売表!A13)</f>
        <v/>
      </c>
      <c r="B12" s="162" t="str">
        <f>IF(A12="","",販売表!B13)</f>
        <v/>
      </c>
      <c r="C12" s="163"/>
      <c r="D12" s="76"/>
      <c r="E12" s="107" t="str">
        <f t="shared" si="0"/>
        <v/>
      </c>
      <c r="F12" s="163"/>
      <c r="G12" s="165"/>
      <c r="H12" s="166"/>
      <c r="I12" s="167"/>
    </row>
    <row r="13" spans="1:9" ht="15.95" customHeight="1" thickBot="1">
      <c r="A13" s="74" t="str">
        <f>IF(販売表!A14=0,"",販売表!A14)</f>
        <v/>
      </c>
      <c r="B13" s="108" t="str">
        <f>IF(A13="","",販売表!B14)</f>
        <v/>
      </c>
      <c r="C13" s="75"/>
      <c r="D13" s="76"/>
      <c r="E13" s="107" t="str">
        <f t="shared" si="0"/>
        <v/>
      </c>
      <c r="F13" s="75"/>
      <c r="G13" s="77"/>
      <c r="H13" s="78"/>
      <c r="I13" s="79"/>
    </row>
    <row r="14" spans="1:9" ht="15.95" customHeight="1" thickBot="1">
      <c r="A14" s="74" t="str">
        <f>IF(販売表!A15=0,"",販売表!A15)</f>
        <v/>
      </c>
      <c r="B14" s="108" t="str">
        <f>IF(A14="","",販売表!B15)</f>
        <v/>
      </c>
      <c r="C14" s="75"/>
      <c r="D14" s="76"/>
      <c r="E14" s="107" t="str">
        <f t="shared" si="0"/>
        <v/>
      </c>
      <c r="F14" s="75"/>
      <c r="G14" s="77"/>
      <c r="H14" s="78"/>
      <c r="I14" s="79"/>
    </row>
    <row r="15" spans="1:9" s="29" customFormat="1" ht="15.95" customHeight="1" thickBot="1">
      <c r="A15" s="31" t="str">
        <f>IF(販売表!A16=0,"",販売表!A16)</f>
        <v/>
      </c>
      <c r="B15" s="108" t="str">
        <f>IF(A15="","",販売表!B16)</f>
        <v/>
      </c>
      <c r="C15" s="157"/>
      <c r="D15" s="76"/>
      <c r="E15" s="107" t="str">
        <f t="shared" si="0"/>
        <v/>
      </c>
      <c r="F15" s="157"/>
      <c r="G15" s="158"/>
      <c r="H15" s="159"/>
      <c r="I15" s="28"/>
    </row>
    <row r="16" spans="1:9" ht="15.95" customHeight="1" thickBot="1">
      <c r="A16" s="74" t="str">
        <f>IF(販売表!A17=0,"",販売表!A17)</f>
        <v/>
      </c>
      <c r="B16" s="108" t="str">
        <f>IF(A16="","",販売表!B17)</f>
        <v/>
      </c>
      <c r="C16" s="75"/>
      <c r="D16" s="76"/>
      <c r="E16" s="107" t="str">
        <f t="shared" si="0"/>
        <v/>
      </c>
      <c r="F16" s="75"/>
      <c r="G16" s="77"/>
      <c r="H16" s="78"/>
      <c r="I16" s="79"/>
    </row>
    <row r="17" spans="1:9" ht="15.95" customHeight="1" thickBot="1">
      <c r="A17" s="31" t="str">
        <f>IF(販売表!A18=0,"",販売表!A18)</f>
        <v/>
      </c>
      <c r="B17" s="108" t="str">
        <f>IF(A17="","",販売表!B18)</f>
        <v/>
      </c>
      <c r="C17" s="75"/>
      <c r="D17" s="76"/>
      <c r="E17" s="107" t="str">
        <f t="shared" si="0"/>
        <v/>
      </c>
      <c r="F17" s="75"/>
      <c r="G17" s="77"/>
      <c r="H17" s="78"/>
      <c r="I17" s="79"/>
    </row>
    <row r="18" spans="1:9" ht="15.95" customHeight="1" thickBot="1">
      <c r="A18" s="140" t="str">
        <f>IF(販売表!A19=0,"",販売表!A19)</f>
        <v/>
      </c>
      <c r="B18" s="108" t="str">
        <f>IF(A18="","",販売表!B19)</f>
        <v/>
      </c>
      <c r="C18" s="132"/>
      <c r="D18" s="76"/>
      <c r="E18" s="107" t="str">
        <f t="shared" si="0"/>
        <v/>
      </c>
      <c r="F18" s="132"/>
      <c r="G18" s="133"/>
      <c r="H18" s="134"/>
      <c r="I18" s="135"/>
    </row>
    <row r="19" spans="1:9" ht="15.95" customHeight="1" thickBot="1">
      <c r="A19" s="74" t="str">
        <f>IF(販売表!A20=0,"",販売表!A20)</f>
        <v/>
      </c>
      <c r="B19" s="108" t="str">
        <f>IF(A19="","",販売表!B20)</f>
        <v/>
      </c>
      <c r="C19" s="75"/>
      <c r="D19" s="76"/>
      <c r="E19" s="107" t="str">
        <f t="shared" si="0"/>
        <v/>
      </c>
      <c r="F19" s="75"/>
      <c r="G19" s="77"/>
      <c r="H19" s="78"/>
      <c r="I19" s="79"/>
    </row>
    <row r="20" spans="1:9" ht="15.95" customHeight="1" thickBot="1">
      <c r="A20" s="74" t="str">
        <f>IF(販売表!A21=0,"",販売表!A21)</f>
        <v/>
      </c>
      <c r="B20" s="108" t="str">
        <f>IF(A20="","",販売表!B21)</f>
        <v/>
      </c>
      <c r="C20" s="75"/>
      <c r="D20" s="76"/>
      <c r="E20" s="107" t="str">
        <f t="shared" si="0"/>
        <v/>
      </c>
      <c r="F20" s="75"/>
      <c r="G20" s="77"/>
      <c r="H20" s="78"/>
      <c r="I20" s="79"/>
    </row>
    <row r="21" spans="1:9" ht="15.95" customHeight="1" thickBot="1">
      <c r="A21" s="141" t="str">
        <f>IF(販売表!A22=0,"",販売表!A22)</f>
        <v/>
      </c>
      <c r="B21" s="108" t="str">
        <f>IF(A21="","",販売表!B22)</f>
        <v/>
      </c>
      <c r="C21" s="136"/>
      <c r="D21" s="76"/>
      <c r="E21" s="107" t="str">
        <f t="shared" si="0"/>
        <v/>
      </c>
      <c r="F21" s="136"/>
      <c r="G21" s="137"/>
      <c r="H21" s="138"/>
      <c r="I21" s="139"/>
    </row>
    <row r="22" spans="1:9" ht="15.95" customHeight="1" thickBot="1">
      <c r="A22" s="74" t="str">
        <f>IF(販売表!A23=0,"",販売表!A23)</f>
        <v/>
      </c>
      <c r="B22" s="108" t="str">
        <f>IF(A22="","",販売表!B23)</f>
        <v/>
      </c>
      <c r="C22" s="75"/>
      <c r="D22" s="76"/>
      <c r="E22" s="107" t="str">
        <f t="shared" si="0"/>
        <v/>
      </c>
      <c r="F22" s="75"/>
      <c r="G22" s="77"/>
      <c r="H22" s="78"/>
      <c r="I22" s="28"/>
    </row>
    <row r="23" spans="1:9" ht="15.95" customHeight="1" thickBot="1">
      <c r="A23" s="74" t="str">
        <f>IF(販売表!A24=0,"",販売表!A24)</f>
        <v/>
      </c>
      <c r="B23" s="108" t="str">
        <f>IF(A23="","",販売表!B24)</f>
        <v/>
      </c>
      <c r="C23" s="75"/>
      <c r="D23" s="76"/>
      <c r="E23" s="107" t="str">
        <f t="shared" si="0"/>
        <v/>
      </c>
      <c r="F23" s="75"/>
      <c r="G23" s="77"/>
      <c r="H23" s="78"/>
      <c r="I23" s="28"/>
    </row>
    <row r="24" spans="1:9" ht="15.95" customHeight="1" thickBot="1">
      <c r="A24" s="74" t="str">
        <f>IF(販売表!A25=0,"",販売表!A25)</f>
        <v/>
      </c>
      <c r="B24" s="108" t="str">
        <f>IF(A24="","",販売表!B25)</f>
        <v/>
      </c>
      <c r="C24" s="75"/>
      <c r="D24" s="76"/>
      <c r="E24" s="107" t="str">
        <f t="shared" si="0"/>
        <v/>
      </c>
      <c r="F24" s="75"/>
      <c r="G24" s="77"/>
      <c r="H24" s="78"/>
      <c r="I24" s="28"/>
    </row>
    <row r="25" spans="1:9" ht="15.95" customHeight="1" thickBot="1">
      <c r="A25" s="74" t="str">
        <f>IF(販売表!A26=0,"",販売表!A26)</f>
        <v/>
      </c>
      <c r="B25" s="108" t="str">
        <f>IF(A25="","",販売表!B26)</f>
        <v/>
      </c>
      <c r="C25" s="75"/>
      <c r="D25" s="76"/>
      <c r="E25" s="107" t="str">
        <f t="shared" si="0"/>
        <v/>
      </c>
      <c r="F25" s="75"/>
      <c r="G25" s="77"/>
      <c r="H25" s="78"/>
      <c r="I25" s="28"/>
    </row>
    <row r="26" spans="1:9" ht="15.75" customHeight="1" thickBot="1">
      <c r="A26" s="74" t="str">
        <f>IF(販売表!A27=0,"",販売表!A27)</f>
        <v/>
      </c>
      <c r="B26" s="108" t="str">
        <f>IF(A26="","",販売表!B27)</f>
        <v/>
      </c>
      <c r="C26" s="75"/>
      <c r="D26" s="76"/>
      <c r="E26" s="107" t="str">
        <f t="shared" si="0"/>
        <v/>
      </c>
      <c r="F26" s="75"/>
      <c r="G26" s="77"/>
      <c r="H26" s="78"/>
      <c r="I26" s="28"/>
    </row>
    <row r="27" spans="1:9" ht="15.95" customHeight="1" thickBot="1">
      <c r="A27" s="125" t="str">
        <f>IF(販売表!A28=0,"",販売表!A28)</f>
        <v/>
      </c>
      <c r="B27" s="197" t="str">
        <f>IF(A27="","",販売表!B28)</f>
        <v/>
      </c>
      <c r="C27" s="126"/>
      <c r="D27" s="127"/>
      <c r="E27" s="107" t="str">
        <f t="shared" si="0"/>
        <v/>
      </c>
      <c r="F27" s="126"/>
      <c r="G27" s="128"/>
      <c r="H27" s="129"/>
      <c r="I27" s="130"/>
    </row>
    <row r="28" spans="1:9" ht="15.95" customHeight="1" thickBot="1">
      <c r="A28" s="74" t="str">
        <f>IF(販売表!A29=0,"",販売表!A29)</f>
        <v/>
      </c>
      <c r="B28" s="108" t="str">
        <f>IF(A28="","",販売表!B29)</f>
        <v/>
      </c>
      <c r="C28" s="75"/>
      <c r="D28" s="76"/>
      <c r="E28" s="107" t="str">
        <f t="shared" si="0"/>
        <v/>
      </c>
      <c r="F28" s="75"/>
      <c r="G28" s="77"/>
      <c r="H28" s="78"/>
      <c r="I28" s="79"/>
    </row>
    <row r="29" spans="1:9" ht="15.95" customHeight="1" thickBot="1">
      <c r="A29" s="125" t="str">
        <f>IF(販売表!A30=0,"",販売表!A30)</f>
        <v/>
      </c>
      <c r="B29" s="197" t="str">
        <f>IF(A29="","",販売表!B30)</f>
        <v/>
      </c>
      <c r="C29" s="126"/>
      <c r="D29" s="127"/>
      <c r="E29" s="107" t="str">
        <f t="shared" si="0"/>
        <v/>
      </c>
      <c r="F29" s="126"/>
      <c r="G29" s="128"/>
      <c r="H29" s="129"/>
      <c r="I29" s="130"/>
    </row>
    <row r="30" spans="1:9" ht="15.95" customHeight="1" thickBot="1">
      <c r="A30" s="74" t="str">
        <f>IF(販売表!A31=0,"",販売表!A31)</f>
        <v/>
      </c>
      <c r="B30" s="108" t="str">
        <f>IF(A30="","",販売表!B31)</f>
        <v/>
      </c>
      <c r="C30" s="75"/>
      <c r="D30" s="76"/>
      <c r="E30" s="107" t="str">
        <f t="shared" si="0"/>
        <v/>
      </c>
      <c r="F30" s="75"/>
      <c r="G30" s="77"/>
      <c r="H30" s="78"/>
      <c r="I30" s="114"/>
    </row>
    <row r="31" spans="1:9" ht="15.95" customHeight="1" thickBot="1">
      <c r="A31" s="74" t="str">
        <f>IF(販売表!A32=0,"",販売表!A32)</f>
        <v/>
      </c>
      <c r="B31" s="108" t="str">
        <f>IF(A31="","",販売表!B32)</f>
        <v/>
      </c>
      <c r="C31" s="75"/>
      <c r="D31" s="76"/>
      <c r="E31" s="107" t="str">
        <f t="shared" si="0"/>
        <v/>
      </c>
      <c r="F31" s="75"/>
      <c r="G31" s="77"/>
      <c r="H31" s="78"/>
      <c r="I31" s="28"/>
    </row>
    <row r="32" spans="1:9" ht="15.95" customHeight="1" thickBot="1">
      <c r="A32" s="74" t="str">
        <f>IF(販売表!A33=0,"",販売表!A33)</f>
        <v/>
      </c>
      <c r="B32" s="108" t="str">
        <f>IF(A32="","",販売表!B33)</f>
        <v/>
      </c>
      <c r="C32" s="75"/>
      <c r="D32" s="76"/>
      <c r="E32" s="107" t="str">
        <f t="shared" si="0"/>
        <v/>
      </c>
      <c r="F32" s="75"/>
      <c r="G32" s="77"/>
      <c r="H32" s="78"/>
      <c r="I32" s="28"/>
    </row>
    <row r="33" spans="1:9" ht="15.95" customHeight="1" thickBot="1">
      <c r="A33" s="74" t="str">
        <f>IF(販売表!A34=0,"",販売表!A34)</f>
        <v/>
      </c>
      <c r="B33" s="108" t="str">
        <f>IF(A33="","",販売表!B34)</f>
        <v/>
      </c>
      <c r="C33" s="75"/>
      <c r="D33" s="76"/>
      <c r="E33" s="107" t="str">
        <f t="shared" si="0"/>
        <v/>
      </c>
      <c r="F33" s="81"/>
      <c r="G33" s="77"/>
      <c r="H33" s="78"/>
      <c r="I33" s="28"/>
    </row>
    <row r="34" spans="1:9" ht="15.95" customHeight="1" thickBot="1">
      <c r="A34" s="161" t="str">
        <f>IF(販売表!A35=0,"",販売表!A35)</f>
        <v/>
      </c>
      <c r="B34" s="162" t="str">
        <f>IF(A34="","",販売表!B35)</f>
        <v/>
      </c>
      <c r="C34" s="163"/>
      <c r="D34" s="164"/>
      <c r="E34" s="107" t="str">
        <f t="shared" si="0"/>
        <v/>
      </c>
      <c r="F34" s="176"/>
      <c r="G34" s="165"/>
      <c r="H34" s="166"/>
      <c r="I34" s="167"/>
    </row>
    <row r="35" spans="1:9" ht="15.95" customHeight="1" thickBot="1">
      <c r="A35" s="74" t="str">
        <f>IF(販売表!A36=0,"",販売表!A36)</f>
        <v/>
      </c>
      <c r="B35" s="108" t="str">
        <f>IF(A35="","",販売表!B36)</f>
        <v/>
      </c>
      <c r="C35" s="75"/>
      <c r="D35" s="76"/>
      <c r="E35" s="107" t="str">
        <f t="shared" si="0"/>
        <v/>
      </c>
      <c r="F35" s="81"/>
      <c r="G35" s="77"/>
      <c r="H35" s="78"/>
      <c r="I35" s="28"/>
    </row>
    <row r="36" spans="1:9" ht="15.95" customHeight="1" thickBot="1">
      <c r="A36" s="74" t="str">
        <f>IF(販売表!A37=0,"",販売表!A37)</f>
        <v/>
      </c>
      <c r="B36" s="108" t="str">
        <f>IF(A36="","",販売表!B37)</f>
        <v/>
      </c>
      <c r="C36" s="75"/>
      <c r="D36" s="76"/>
      <c r="E36" s="107" t="str">
        <f t="shared" si="0"/>
        <v/>
      </c>
      <c r="F36" s="81"/>
      <c r="G36" s="77"/>
      <c r="H36" s="78"/>
      <c r="I36" s="28"/>
    </row>
    <row r="37" spans="1:9" ht="15.95" customHeight="1" thickBot="1">
      <c r="A37" s="74" t="str">
        <f>IF(販売表!A38=0,"",販売表!A38)</f>
        <v/>
      </c>
      <c r="B37" s="108" t="str">
        <f>IF(A37="","",販売表!B38)</f>
        <v/>
      </c>
      <c r="C37" s="75"/>
      <c r="D37" s="76"/>
      <c r="E37" s="107" t="str">
        <f t="shared" si="0"/>
        <v/>
      </c>
      <c r="F37" s="81"/>
      <c r="G37" s="77"/>
      <c r="H37" s="78"/>
      <c r="I37" s="28"/>
    </row>
    <row r="38" spans="1:9" ht="15.95" customHeight="1" thickBot="1">
      <c r="A38" s="74" t="str">
        <f>IF(販売表!A39=0,"",販売表!A39)</f>
        <v/>
      </c>
      <c r="B38" s="108" t="str">
        <f>IF(A38="","",販売表!B39)</f>
        <v/>
      </c>
      <c r="C38" s="75"/>
      <c r="D38" s="76"/>
      <c r="E38" s="107" t="str">
        <f t="shared" si="0"/>
        <v/>
      </c>
      <c r="F38" s="81"/>
      <c r="G38" s="77"/>
      <c r="H38" s="78"/>
      <c r="I38" s="28"/>
    </row>
    <row r="39" spans="1:9" ht="15.95" customHeight="1" thickBot="1">
      <c r="A39" s="74" t="str">
        <f>IF(販売表!A40=0,"",販売表!A40)</f>
        <v/>
      </c>
      <c r="B39" s="108" t="str">
        <f>IF(A39="","",販売表!B40)</f>
        <v/>
      </c>
      <c r="C39" s="75"/>
      <c r="D39" s="76"/>
      <c r="E39" s="107" t="str">
        <f t="shared" si="0"/>
        <v/>
      </c>
      <c r="F39" s="82"/>
      <c r="G39" s="77"/>
      <c r="H39" s="78"/>
      <c r="I39" s="79"/>
    </row>
    <row r="40" spans="1:9" ht="15.95" customHeight="1" thickBot="1">
      <c r="A40" s="74" t="str">
        <f>IF(販売表!A41=0,"",販売表!A41)</f>
        <v/>
      </c>
      <c r="B40" s="108" t="str">
        <f>IF(A40="","",販売表!B41)</f>
        <v/>
      </c>
      <c r="C40" s="75"/>
      <c r="D40" s="76"/>
      <c r="E40" s="107" t="str">
        <f t="shared" si="0"/>
        <v/>
      </c>
      <c r="F40" s="82"/>
      <c r="G40" s="77"/>
      <c r="H40" s="78"/>
      <c r="I40" s="80"/>
    </row>
    <row r="41" spans="1:9" ht="15.95" customHeight="1" thickBot="1">
      <c r="A41" s="74" t="str">
        <f>IF(販売表!A42=0,"",販売表!A42)</f>
        <v/>
      </c>
      <c r="B41" s="108" t="str">
        <f>IF(A41="","",販売表!B42)</f>
        <v/>
      </c>
      <c r="C41" s="75"/>
      <c r="D41" s="76"/>
      <c r="E41" s="107" t="str">
        <f t="shared" si="0"/>
        <v/>
      </c>
      <c r="F41" s="75"/>
      <c r="G41" s="77"/>
      <c r="H41" s="78"/>
      <c r="I41" s="28"/>
    </row>
    <row r="42" spans="1:9" ht="15.95" customHeight="1" thickBot="1">
      <c r="A42" s="119" t="str">
        <f>IF(販売表!A43=0,"",販売表!A43)</f>
        <v/>
      </c>
      <c r="B42" s="196" t="str">
        <f>IF(A42="","",販売表!B43)</f>
        <v/>
      </c>
      <c r="C42" s="120"/>
      <c r="D42" s="121"/>
      <c r="E42" s="107" t="str">
        <f t="shared" si="0"/>
        <v/>
      </c>
      <c r="F42" s="120"/>
      <c r="G42" s="122"/>
      <c r="H42" s="123"/>
      <c r="I42" s="124"/>
    </row>
    <row r="43" spans="1:9" ht="15.95" customHeight="1" thickBot="1">
      <c r="A43" s="74" t="str">
        <f>IF(販売表!A44=0,"",販売表!A44)</f>
        <v/>
      </c>
      <c r="B43" s="108" t="str">
        <f>IF(A43="","",販売表!B44)</f>
        <v/>
      </c>
      <c r="C43" s="75"/>
      <c r="D43" s="76"/>
      <c r="E43" s="107" t="str">
        <f t="shared" si="0"/>
        <v/>
      </c>
      <c r="F43" s="75"/>
      <c r="G43" s="77"/>
      <c r="H43" s="78"/>
      <c r="I43" s="28"/>
    </row>
    <row r="44" spans="1:9" ht="15.95" customHeight="1" thickBot="1">
      <c r="A44" s="74" t="str">
        <f>IF(販売表!A45=0,"",販売表!A45)</f>
        <v/>
      </c>
      <c r="B44" s="108" t="str">
        <f>IF(A44="","",販売表!B45)</f>
        <v/>
      </c>
      <c r="C44" s="75"/>
      <c r="D44" s="76"/>
      <c r="E44" s="107" t="str">
        <f t="shared" si="0"/>
        <v/>
      </c>
      <c r="F44" s="75"/>
      <c r="G44" s="77"/>
      <c r="H44" s="78"/>
      <c r="I44" s="28"/>
    </row>
    <row r="45" spans="1:9" ht="15.95" customHeight="1" thickBot="1">
      <c r="A45" s="31" t="str">
        <f>IF(販売表!A46=0,"",販売表!A46)</f>
        <v/>
      </c>
      <c r="B45" s="108" t="str">
        <f>IF(A45="","",販売表!B46)</f>
        <v/>
      </c>
      <c r="C45" s="75"/>
      <c r="D45" s="76"/>
      <c r="E45" s="107" t="str">
        <f t="shared" si="0"/>
        <v/>
      </c>
      <c r="F45" s="75"/>
      <c r="G45" s="77"/>
      <c r="H45" s="78"/>
      <c r="I45" s="28"/>
    </row>
    <row r="46" spans="1:9" ht="15.95" customHeight="1" thickBot="1">
      <c r="A46" s="31" t="str">
        <f>IF(販売表!A47=0,"",販売表!A47)</f>
        <v/>
      </c>
      <c r="B46" s="108" t="str">
        <f>IF(A46="","",販売表!B47)</f>
        <v/>
      </c>
      <c r="C46" s="75"/>
      <c r="D46" s="76"/>
      <c r="E46" s="107" t="str">
        <f t="shared" si="0"/>
        <v/>
      </c>
      <c r="F46" s="75"/>
      <c r="G46" s="77"/>
      <c r="H46" s="78"/>
      <c r="I46" s="28"/>
    </row>
    <row r="47" spans="1:9" ht="15.95" customHeight="1" thickBot="1">
      <c r="A47" s="74" t="str">
        <f>IF(販売表!A48=0,"",販売表!A48)</f>
        <v/>
      </c>
      <c r="B47" s="108" t="str">
        <f>IF(A47="","",販売表!B48)</f>
        <v/>
      </c>
      <c r="C47" s="75"/>
      <c r="D47" s="76"/>
      <c r="E47" s="107" t="str">
        <f t="shared" si="0"/>
        <v/>
      </c>
      <c r="F47" s="75"/>
      <c r="G47" s="77"/>
      <c r="H47" s="78"/>
      <c r="I47" s="79"/>
    </row>
    <row r="48" spans="1:9" ht="15.95" customHeight="1" thickBot="1">
      <c r="A48" s="31" t="str">
        <f>IF(販売表!A49=0,"",販売表!A49)</f>
        <v/>
      </c>
      <c r="B48" s="108" t="str">
        <f>IF(A48="","",販売表!B49)</f>
        <v/>
      </c>
      <c r="C48" s="75"/>
      <c r="D48" s="76"/>
      <c r="E48" s="107" t="str">
        <f t="shared" si="0"/>
        <v/>
      </c>
      <c r="F48" s="75"/>
      <c r="G48" s="77"/>
      <c r="H48" s="78"/>
      <c r="I48" s="79"/>
    </row>
    <row r="49" spans="1:9" ht="15.95" customHeight="1" thickBot="1">
      <c r="A49" s="31" t="str">
        <f>IF(販売表!A50=0,"",販売表!A50)</f>
        <v/>
      </c>
      <c r="B49" s="108" t="str">
        <f>IF(A49="","",販売表!B50)</f>
        <v/>
      </c>
      <c r="C49" s="75"/>
      <c r="D49" s="76"/>
      <c r="E49" s="107" t="str">
        <f t="shared" si="0"/>
        <v/>
      </c>
      <c r="F49" s="75"/>
      <c r="G49" s="77"/>
      <c r="H49" s="78"/>
      <c r="I49" s="79"/>
    </row>
    <row r="50" spans="1:9" ht="15.95" customHeight="1" thickBot="1">
      <c r="A50" s="31" t="str">
        <f>IF(販売表!A51=0,"",販売表!A51)</f>
        <v/>
      </c>
      <c r="B50" s="108" t="str">
        <f>IF(A50="","",販売表!B51)</f>
        <v/>
      </c>
      <c r="C50" s="75"/>
      <c r="D50" s="76"/>
      <c r="E50" s="107" t="str">
        <f t="shared" si="0"/>
        <v/>
      </c>
      <c r="F50" s="75"/>
      <c r="G50" s="77"/>
      <c r="H50" s="78"/>
      <c r="I50" s="79"/>
    </row>
    <row r="51" spans="1:9" ht="15.95" customHeight="1" thickBot="1">
      <c r="A51" s="31" t="str">
        <f>IF(販売表!A52=0,"",販売表!A52)</f>
        <v/>
      </c>
      <c r="B51" s="108" t="str">
        <f>IF(A51="","",販売表!B52)</f>
        <v/>
      </c>
      <c r="C51" s="75"/>
      <c r="D51" s="76"/>
      <c r="E51" s="107" t="str">
        <f t="shared" si="0"/>
        <v/>
      </c>
      <c r="F51" s="75"/>
      <c r="G51" s="77"/>
      <c r="H51" s="78"/>
      <c r="I51" s="79"/>
    </row>
    <row r="52" spans="1:9" ht="15.95" customHeight="1" thickBot="1">
      <c r="A52" s="31" t="str">
        <f>IF(販売表!A53=0,"",販売表!A53)</f>
        <v/>
      </c>
      <c r="B52" s="108" t="str">
        <f>IF(A52="","",販売表!B53)</f>
        <v/>
      </c>
      <c r="C52" s="75"/>
      <c r="D52" s="76"/>
      <c r="E52" s="107" t="str">
        <f t="shared" si="0"/>
        <v/>
      </c>
      <c r="F52" s="75"/>
      <c r="G52" s="77"/>
      <c r="H52" s="78"/>
      <c r="I52" s="79"/>
    </row>
    <row r="53" spans="1:9" ht="15.95" customHeight="1" thickBot="1">
      <c r="A53" s="31" t="str">
        <f>IF(販売表!A54=0,"",販売表!A54)</f>
        <v/>
      </c>
      <c r="B53" s="108" t="str">
        <f>IF(A53="","",販売表!B54)</f>
        <v/>
      </c>
      <c r="C53" s="75"/>
      <c r="D53" s="76"/>
      <c r="E53" s="107" t="str">
        <f t="shared" si="0"/>
        <v/>
      </c>
      <c r="F53" s="75"/>
      <c r="G53" s="77"/>
      <c r="H53" s="78"/>
      <c r="I53" s="79"/>
    </row>
    <row r="54" spans="1:9" ht="15.95" customHeight="1" thickBot="1">
      <c r="A54" s="31" t="str">
        <f>IF(販売表!A55=0,"",販売表!A55)</f>
        <v/>
      </c>
      <c r="B54" s="108" t="str">
        <f>IF(A54="","",販売表!B55)</f>
        <v/>
      </c>
      <c r="C54" s="75"/>
      <c r="D54" s="76"/>
      <c r="E54" s="107" t="str">
        <f t="shared" si="0"/>
        <v/>
      </c>
      <c r="F54" s="75"/>
      <c r="G54" s="77"/>
      <c r="H54" s="78"/>
      <c r="I54" s="79"/>
    </row>
    <row r="55" spans="1:9" ht="15.95" customHeight="1" thickBot="1">
      <c r="A55" s="31" t="str">
        <f>IF(販売表!A56=0,"",販売表!A56)</f>
        <v/>
      </c>
      <c r="B55" s="108" t="str">
        <f>IF(A55="","",販売表!B56)</f>
        <v/>
      </c>
      <c r="C55" s="75"/>
      <c r="D55" s="76"/>
      <c r="E55" s="107" t="str">
        <f t="shared" si="0"/>
        <v/>
      </c>
      <c r="F55" s="75"/>
      <c r="G55" s="77"/>
      <c r="H55" s="78"/>
      <c r="I55" s="79"/>
    </row>
    <row r="56" spans="1:9" ht="15.95" customHeight="1" thickBot="1">
      <c r="A56" s="31" t="str">
        <f>IF(販売表!A57=0,"",販売表!A57)</f>
        <v/>
      </c>
      <c r="B56" s="256" t="str">
        <f>IF(A56="","",販売表!B57)</f>
        <v/>
      </c>
      <c r="C56" s="75"/>
      <c r="D56" s="76"/>
      <c r="E56" s="107" t="str">
        <f>IF(A56="","",B56*C56+D56)</f>
        <v/>
      </c>
      <c r="F56" s="75"/>
      <c r="G56" s="77"/>
      <c r="H56" s="78"/>
      <c r="I56" s="79"/>
    </row>
    <row r="57" spans="1:9" ht="15.95" customHeight="1" thickBot="1">
      <c r="A57" s="113" t="s">
        <v>0</v>
      </c>
      <c r="B57" s="257">
        <f>SUM(B3:B48)</f>
        <v>0</v>
      </c>
      <c r="C57" s="84"/>
      <c r="D57" s="83"/>
      <c r="E57" s="142">
        <f>SUM(E3:E48)</f>
        <v>0</v>
      </c>
      <c r="F57" s="84"/>
      <c r="G57" s="77"/>
      <c r="H57" s="78"/>
      <c r="I57" s="79"/>
    </row>
    <row r="58" spans="1:9" ht="15.95" customHeight="1">
      <c r="B58" s="85"/>
      <c r="C58" s="85"/>
      <c r="F58" s="1"/>
      <c r="G58" s="1"/>
    </row>
    <row r="59" spans="1:9" ht="15.95" customHeight="1">
      <c r="A59" s="2"/>
      <c r="B59" s="2"/>
      <c r="C59" s="2"/>
      <c r="D59" s="86"/>
      <c r="E59" s="86"/>
      <c r="F59" s="86"/>
      <c r="G59" s="87"/>
    </row>
    <row r="60" spans="1:9" ht="15.95" customHeight="1">
      <c r="B60" s="68"/>
      <c r="F60" s="1"/>
      <c r="G60" s="1"/>
    </row>
    <row r="61" spans="1:9" ht="15.95" customHeight="1">
      <c r="F61" s="1"/>
      <c r="G61" s="1"/>
    </row>
    <row r="62" spans="1:9" ht="15.95" customHeight="1">
      <c r="F62" s="1"/>
    </row>
    <row r="63" spans="1:9" ht="15.95" customHeight="1">
      <c r="F63" s="1"/>
    </row>
    <row r="64" spans="1:9" ht="15.95" customHeight="1">
      <c r="F64" s="1"/>
    </row>
    <row r="65" spans="6:6" ht="15">
      <c r="F65" s="1"/>
    </row>
    <row r="66" spans="6:6" ht="15">
      <c r="F66" s="1"/>
    </row>
    <row r="67" spans="6:6" ht="15">
      <c r="F67" s="1"/>
    </row>
    <row r="68" spans="6:6" ht="15">
      <c r="F68" s="1"/>
    </row>
    <row r="69" spans="6:6" ht="15">
      <c r="F69" s="1"/>
    </row>
    <row r="70" spans="6:6" ht="15">
      <c r="F70" s="1"/>
    </row>
    <row r="71" spans="6:6" ht="15">
      <c r="F71" s="1"/>
    </row>
    <row r="72" spans="6:6" ht="15">
      <c r="F72" s="1"/>
    </row>
    <row r="73" spans="6:6" ht="15">
      <c r="F73" s="1"/>
    </row>
    <row r="74" spans="6:6" ht="15">
      <c r="F74" s="1"/>
    </row>
    <row r="75" spans="6:6" ht="15">
      <c r="F75" s="1"/>
    </row>
    <row r="76" spans="6:6" ht="15">
      <c r="F76" s="1"/>
    </row>
    <row r="77" spans="6:6" ht="15">
      <c r="F77" s="1"/>
    </row>
    <row r="78" spans="6:6" ht="15">
      <c r="F78" s="1"/>
    </row>
    <row r="79" spans="6:6" ht="15">
      <c r="F79" s="1"/>
    </row>
    <row r="80" spans="6:6" ht="15">
      <c r="F80" s="1"/>
    </row>
    <row r="81" spans="6:6" ht="15">
      <c r="F81" s="1"/>
    </row>
    <row r="82" spans="6:6" ht="15">
      <c r="F82" s="1"/>
    </row>
    <row r="83" spans="6:6" ht="15">
      <c r="F83" s="1"/>
    </row>
    <row r="84" spans="6:6" ht="15">
      <c r="F84" s="1"/>
    </row>
    <row r="85" spans="6:6" ht="15">
      <c r="F85" s="1"/>
    </row>
    <row r="86" spans="6:6" ht="15">
      <c r="F86" s="1"/>
    </row>
    <row r="87" spans="6:6" ht="15">
      <c r="F87" s="1"/>
    </row>
    <row r="88" spans="6:6" ht="15">
      <c r="F88" s="1"/>
    </row>
    <row r="89" spans="6:6" ht="15">
      <c r="F89" s="1"/>
    </row>
    <row r="90" spans="6:6" ht="15">
      <c r="F90" s="1"/>
    </row>
    <row r="91" spans="6:6" ht="15">
      <c r="F91" s="1"/>
    </row>
    <row r="92" spans="6:6" ht="15">
      <c r="F92" s="1"/>
    </row>
    <row r="93" spans="6:6" ht="15">
      <c r="F93" s="1"/>
    </row>
    <row r="94" spans="6:6" ht="15">
      <c r="F94" s="1"/>
    </row>
    <row r="95" spans="6:6" ht="15">
      <c r="F95" s="1"/>
    </row>
    <row r="96" spans="6:6" ht="15">
      <c r="F96" s="1"/>
    </row>
    <row r="97" spans="6:6" ht="15">
      <c r="F97" s="1"/>
    </row>
  </sheetData>
  <mergeCells count="3">
    <mergeCell ref="B1:C1"/>
    <mergeCell ref="E1:F1"/>
    <mergeCell ref="H1:I1"/>
  </mergeCells>
  <phoneticPr fontId="2"/>
  <pageMargins left="0.19685039370078741" right="0.19685039370078741" top="0.39370078740157483" bottom="0.39370078740157483" header="0.11811023622047245" footer="0.11811023622047245"/>
  <pageSetup paperSize="9" scale="8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72"/>
  <sheetViews>
    <sheetView zoomScaleNormal="100" workbookViewId="0">
      <pane ySplit="3" topLeftCell="A4" activePane="bottomLeft" state="frozen"/>
      <selection pane="bottomLeft"/>
    </sheetView>
  </sheetViews>
  <sheetFormatPr defaultRowHeight="13.5"/>
  <cols>
    <col min="1" max="1" width="21.125" customWidth="1"/>
    <col min="2" max="10" width="7.625" customWidth="1"/>
    <col min="12" max="12" width="9.75" bestFit="1" customWidth="1"/>
  </cols>
  <sheetData>
    <row r="1" spans="1:12" ht="39.75" customHeight="1">
      <c r="A1" s="11" t="s">
        <v>53</v>
      </c>
      <c r="B1" s="318">
        <f>販売表!A1</f>
        <v>0</v>
      </c>
      <c r="C1" s="311"/>
      <c r="D1" s="311"/>
      <c r="E1" s="311"/>
      <c r="F1" s="317" t="s">
        <v>6</v>
      </c>
      <c r="G1" s="317"/>
    </row>
    <row r="2" spans="1:12" ht="11.25" customHeight="1" thickBot="1">
      <c r="A2" s="11"/>
      <c r="B2" s="35"/>
      <c r="C2" s="30"/>
      <c r="D2" s="30"/>
      <c r="E2" s="30"/>
      <c r="F2" s="36"/>
      <c r="G2" s="36"/>
    </row>
    <row r="3" spans="1:12" ht="15" customHeight="1">
      <c r="A3" s="258" t="s">
        <v>2</v>
      </c>
      <c r="B3" s="259" t="s">
        <v>4</v>
      </c>
      <c r="C3" s="275" t="s">
        <v>82</v>
      </c>
      <c r="D3" s="41" t="s">
        <v>83</v>
      </c>
      <c r="E3" s="42" t="s">
        <v>84</v>
      </c>
      <c r="F3" s="43" t="s">
        <v>85</v>
      </c>
      <c r="G3" s="37" t="s">
        <v>86</v>
      </c>
      <c r="H3" s="38" t="s">
        <v>87</v>
      </c>
      <c r="I3" s="44" t="s">
        <v>88</v>
      </c>
      <c r="J3" s="47" t="s">
        <v>89</v>
      </c>
      <c r="K3" s="45" t="s">
        <v>90</v>
      </c>
      <c r="L3" s="46" t="s">
        <v>91</v>
      </c>
    </row>
    <row r="4" spans="1:12" ht="15" customHeight="1">
      <c r="A4" s="260" t="str">
        <f>IF(販売表!A4=0,"",販売表!A4)</f>
        <v/>
      </c>
      <c r="B4" s="261"/>
      <c r="C4" s="39" t="str">
        <f>IF($A4="","",CEILING(販売表!C4,$B4))</f>
        <v/>
      </c>
      <c r="D4" s="40" t="str">
        <f>IF($A4="","",C4/$B4)</f>
        <v/>
      </c>
      <c r="E4" s="1" t="str">
        <f>IF($A4="","",CEILING(販売表!D4,$B4))</f>
        <v/>
      </c>
      <c r="F4" s="40" t="str">
        <f>IF($A4="","",E4/$B4)</f>
        <v/>
      </c>
      <c r="G4" s="1" t="str">
        <f>IF($A4="","",CEILING(販売表!E4,$B4))</f>
        <v/>
      </c>
      <c r="H4" s="40" t="str">
        <f>IF($A4="","",G4/$B4)</f>
        <v/>
      </c>
      <c r="I4" s="1" t="str">
        <f>IF($A4="","",CEILING(販売表!F4,$B4))</f>
        <v/>
      </c>
      <c r="J4" s="40" t="str">
        <f>IF($A4="","",I4/$B4)</f>
        <v/>
      </c>
      <c r="K4" s="1" t="str">
        <f>IF($A4="","",CEILING(販売表!G4,$B4))</f>
        <v/>
      </c>
      <c r="L4" s="40" t="str">
        <f>IF($A4="","",K4/$B4)</f>
        <v/>
      </c>
    </row>
    <row r="5" spans="1:12" ht="15" customHeight="1">
      <c r="A5" s="260" t="str">
        <f>IF(販売表!A5=0,"",販売表!A5)</f>
        <v/>
      </c>
      <c r="B5" s="261"/>
      <c r="C5" s="39" t="str">
        <f>IF($A5="","",CEILING(販売表!C5,$B5))</f>
        <v/>
      </c>
      <c r="D5" s="40" t="str">
        <f t="shared" ref="D5:D57" si="0">IF($A5="","",C5/$B5)</f>
        <v/>
      </c>
      <c r="E5" s="1" t="str">
        <f>IF($A5="","",CEILING(販売表!D5,$B5))</f>
        <v/>
      </c>
      <c r="F5" s="40" t="str">
        <f t="shared" ref="F5" si="1">IF($A5="","",E5/$B5)</f>
        <v/>
      </c>
      <c r="G5" s="1" t="str">
        <f>IF($A5="","",CEILING(販売表!E5,$B5))</f>
        <v/>
      </c>
      <c r="H5" s="40" t="str">
        <f t="shared" ref="H5" si="2">IF($A5="","",G5/$B5)</f>
        <v/>
      </c>
      <c r="I5" s="1" t="str">
        <f>IF($A5="","",CEILING(販売表!F5,$B5))</f>
        <v/>
      </c>
      <c r="J5" s="40" t="str">
        <f t="shared" ref="J5" si="3">IF($A5="","",I5/$B5)</f>
        <v/>
      </c>
      <c r="K5" s="1" t="str">
        <f>IF($A5="","",CEILING(販売表!G5,$B5))</f>
        <v/>
      </c>
      <c r="L5" s="40" t="str">
        <f t="shared" ref="L5" si="4">IF($A5="","",K5/$B5)</f>
        <v/>
      </c>
    </row>
    <row r="6" spans="1:12" s="48" customFormat="1" ht="15" customHeight="1">
      <c r="A6" s="260" t="str">
        <f>IF(販売表!A6=0,"",販売表!A6)</f>
        <v/>
      </c>
      <c r="B6" s="261"/>
      <c r="C6" s="39" t="str">
        <f>IF($A6="","",CEILING(販売表!C6,$B6))</f>
        <v/>
      </c>
      <c r="D6" s="40" t="str">
        <f t="shared" si="0"/>
        <v/>
      </c>
      <c r="E6" s="1" t="str">
        <f>IF($A6="","",CEILING(販売表!D6,$B6))</f>
        <v/>
      </c>
      <c r="F6" s="40" t="str">
        <f t="shared" ref="F6" si="5">IF($A6="","",E6/$B6)</f>
        <v/>
      </c>
      <c r="G6" s="1" t="str">
        <f>IF($A6="","",CEILING(販売表!E6,$B6))</f>
        <v/>
      </c>
      <c r="H6" s="40" t="str">
        <f t="shared" ref="H6" si="6">IF($A6="","",G6/$B6)</f>
        <v/>
      </c>
      <c r="I6" s="1" t="str">
        <f>IF($A6="","",CEILING(販売表!F6,$B6))</f>
        <v/>
      </c>
      <c r="J6" s="40" t="str">
        <f t="shared" ref="J6" si="7">IF($A6="","",I6/$B6)</f>
        <v/>
      </c>
      <c r="K6" s="1" t="str">
        <f>IF($A6="","",CEILING(販売表!G6,$B6))</f>
        <v/>
      </c>
      <c r="L6" s="40" t="str">
        <f t="shared" ref="L6" si="8">IF($A6="","",K6/$B6)</f>
        <v/>
      </c>
    </row>
    <row r="7" spans="1:12" ht="15" customHeight="1">
      <c r="A7" s="260" t="str">
        <f>IF(販売表!A7=0,"",販売表!A7)</f>
        <v/>
      </c>
      <c r="B7" s="261"/>
      <c r="C7" s="39" t="str">
        <f>IF($A7="","",CEILING(販売表!C7,$B7))</f>
        <v/>
      </c>
      <c r="D7" s="40" t="str">
        <f t="shared" si="0"/>
        <v/>
      </c>
      <c r="E7" s="1" t="str">
        <f>IF($A7="","",CEILING(販売表!D7,$B7))</f>
        <v/>
      </c>
      <c r="F7" s="40" t="str">
        <f t="shared" ref="F7" si="9">IF($A7="","",E7/$B7)</f>
        <v/>
      </c>
      <c r="G7" s="1" t="str">
        <f>IF($A7="","",CEILING(販売表!E7,$B7))</f>
        <v/>
      </c>
      <c r="H7" s="40" t="str">
        <f t="shared" ref="H7" si="10">IF($A7="","",G7/$B7)</f>
        <v/>
      </c>
      <c r="I7" s="1" t="str">
        <f>IF($A7="","",CEILING(販売表!F7,$B7))</f>
        <v/>
      </c>
      <c r="J7" s="40" t="str">
        <f t="shared" ref="J7" si="11">IF($A7="","",I7/$B7)</f>
        <v/>
      </c>
      <c r="K7" s="1" t="str">
        <f>IF($A7="","",CEILING(販売表!G7,$B7))</f>
        <v/>
      </c>
      <c r="L7" s="40" t="str">
        <f t="shared" ref="L7" si="12">IF($A7="","",K7/$B7)</f>
        <v/>
      </c>
    </row>
    <row r="8" spans="1:12" s="48" customFormat="1" ht="15" customHeight="1">
      <c r="A8" s="260" t="str">
        <f>IF(販売表!A8=0,"",販売表!A8)</f>
        <v/>
      </c>
      <c r="B8" s="261"/>
      <c r="C8" s="39" t="str">
        <f>IF($A8="","",CEILING(販売表!C8,$B8))</f>
        <v/>
      </c>
      <c r="D8" s="40" t="str">
        <f t="shared" si="0"/>
        <v/>
      </c>
      <c r="E8" s="1" t="str">
        <f>IF($A8="","",CEILING(販売表!D8,$B8))</f>
        <v/>
      </c>
      <c r="F8" s="40" t="str">
        <f t="shared" ref="F8" si="13">IF($A8="","",E8/$B8)</f>
        <v/>
      </c>
      <c r="G8" s="1" t="str">
        <f>IF($A8="","",CEILING(販売表!E8,$B8))</f>
        <v/>
      </c>
      <c r="H8" s="40" t="str">
        <f t="shared" ref="H8" si="14">IF($A8="","",G8/$B8)</f>
        <v/>
      </c>
      <c r="I8" s="1" t="str">
        <f>IF($A8="","",CEILING(販売表!F8,$B8))</f>
        <v/>
      </c>
      <c r="J8" s="40" t="str">
        <f t="shared" ref="J8" si="15">IF($A8="","",I8/$B8)</f>
        <v/>
      </c>
      <c r="K8" s="1" t="str">
        <f>IF($A8="","",CEILING(販売表!G8,$B8))</f>
        <v/>
      </c>
      <c r="L8" s="40" t="str">
        <f t="shared" ref="L8" si="16">IF($A8="","",K8/$B8)</f>
        <v/>
      </c>
    </row>
    <row r="9" spans="1:12" ht="15" customHeight="1">
      <c r="A9" s="260" t="str">
        <f>IF(販売表!A9=0,"",販売表!A9)</f>
        <v/>
      </c>
      <c r="B9" s="261"/>
      <c r="C9" s="39" t="str">
        <f>IF($A9="","",CEILING(販売表!C9,$B9))</f>
        <v/>
      </c>
      <c r="D9" s="40" t="str">
        <f t="shared" si="0"/>
        <v/>
      </c>
      <c r="E9" s="1" t="str">
        <f>IF($A9="","",CEILING(販売表!D9,$B9))</f>
        <v/>
      </c>
      <c r="F9" s="40" t="str">
        <f t="shared" ref="F9" si="17">IF($A9="","",E9/$B9)</f>
        <v/>
      </c>
      <c r="G9" s="1" t="str">
        <f>IF($A9="","",CEILING(販売表!E9,$B9))</f>
        <v/>
      </c>
      <c r="H9" s="40" t="str">
        <f t="shared" ref="H9" si="18">IF($A9="","",G9/$B9)</f>
        <v/>
      </c>
      <c r="I9" s="1" t="str">
        <f>IF($A9="","",CEILING(販売表!F9,$B9))</f>
        <v/>
      </c>
      <c r="J9" s="40" t="str">
        <f t="shared" ref="J9" si="19">IF($A9="","",I9/$B9)</f>
        <v/>
      </c>
      <c r="K9" s="1" t="str">
        <f>IF($A9="","",CEILING(販売表!G9,$B9))</f>
        <v/>
      </c>
      <c r="L9" s="40" t="str">
        <f t="shared" ref="L9" si="20">IF($A9="","",K9/$B9)</f>
        <v/>
      </c>
    </row>
    <row r="10" spans="1:12" ht="15.75" customHeight="1">
      <c r="A10" s="260" t="str">
        <f>IF(販売表!A10=0,"",販売表!A10)</f>
        <v/>
      </c>
      <c r="B10" s="261"/>
      <c r="C10" s="39" t="str">
        <f>IF($A10="","",CEILING(販売表!C10,$B10))</f>
        <v/>
      </c>
      <c r="D10" s="40" t="str">
        <f t="shared" si="0"/>
        <v/>
      </c>
      <c r="E10" s="1" t="str">
        <f>IF($A10="","",CEILING(販売表!D10,$B10))</f>
        <v/>
      </c>
      <c r="F10" s="40" t="str">
        <f t="shared" ref="F10" si="21">IF($A10="","",E10/$B10)</f>
        <v/>
      </c>
      <c r="G10" s="1" t="str">
        <f>IF($A10="","",CEILING(販売表!E10,$B10))</f>
        <v/>
      </c>
      <c r="H10" s="40" t="str">
        <f t="shared" ref="H10" si="22">IF($A10="","",G10/$B10)</f>
        <v/>
      </c>
      <c r="I10" s="1" t="str">
        <f>IF($A10="","",CEILING(販売表!F10,$B10))</f>
        <v/>
      </c>
      <c r="J10" s="40" t="str">
        <f t="shared" ref="J10" si="23">IF($A10="","",I10/$B10)</f>
        <v/>
      </c>
      <c r="K10" s="1" t="str">
        <f>IF($A10="","",CEILING(販売表!G10,$B10))</f>
        <v/>
      </c>
      <c r="L10" s="40" t="str">
        <f t="shared" ref="L10" si="24">IF($A10="","",K10/$B10)</f>
        <v/>
      </c>
    </row>
    <row r="11" spans="1:12" s="180" customFormat="1" ht="15" customHeight="1">
      <c r="A11" s="262" t="str">
        <f>IF(販売表!A11=0,"",販売表!A11)</f>
        <v/>
      </c>
      <c r="B11" s="263"/>
      <c r="C11" s="179" t="str">
        <f>IF($A11="","",CEILING(販売表!C11,$B11))</f>
        <v/>
      </c>
      <c r="D11" s="178" t="str">
        <f t="shared" si="0"/>
        <v/>
      </c>
      <c r="E11" s="276" t="str">
        <f>IF($A11="","",CEILING(販売表!D11,$B11))</f>
        <v/>
      </c>
      <c r="F11" s="178" t="str">
        <f t="shared" ref="F11" si="25">IF($A11="","",E11/$B11)</f>
        <v/>
      </c>
      <c r="G11" s="276" t="str">
        <f>IF($A11="","",CEILING(販売表!E11,$B11))</f>
        <v/>
      </c>
      <c r="H11" s="178" t="str">
        <f t="shared" ref="H11" si="26">IF($A11="","",G11/$B11)</f>
        <v/>
      </c>
      <c r="I11" s="276" t="str">
        <f>IF($A11="","",CEILING(販売表!F11,$B11))</f>
        <v/>
      </c>
      <c r="J11" s="178" t="str">
        <f t="shared" ref="J11" si="27">IF($A11="","",I11/$B11)</f>
        <v/>
      </c>
      <c r="K11" s="276" t="str">
        <f>IF($A11="","",CEILING(販売表!G11,$B11))</f>
        <v/>
      </c>
      <c r="L11" s="178" t="str">
        <f t="shared" ref="L11" si="28">IF($A11="","",K11/$B11)</f>
        <v/>
      </c>
    </row>
    <row r="12" spans="1:12" s="180" customFormat="1" ht="15" customHeight="1">
      <c r="A12" s="262" t="str">
        <f>IF(販売表!A12=0,"",販売表!A12)</f>
        <v/>
      </c>
      <c r="B12" s="263"/>
      <c r="C12" s="179" t="str">
        <f>IF($A12="","",CEILING(販売表!C12,$B12))</f>
        <v/>
      </c>
      <c r="D12" s="178" t="str">
        <f t="shared" si="0"/>
        <v/>
      </c>
      <c r="E12" s="276" t="str">
        <f>IF($A12="","",CEILING(販売表!D12,$B12))</f>
        <v/>
      </c>
      <c r="F12" s="178" t="str">
        <f t="shared" ref="F12" si="29">IF($A12="","",E12/$B12)</f>
        <v/>
      </c>
      <c r="G12" s="276" t="str">
        <f>IF($A12="","",CEILING(販売表!E12,$B12))</f>
        <v/>
      </c>
      <c r="H12" s="178" t="str">
        <f t="shared" ref="H12" si="30">IF($A12="","",G12/$B12)</f>
        <v/>
      </c>
      <c r="I12" s="276" t="str">
        <f>IF($A12="","",CEILING(販売表!F12,$B12))</f>
        <v/>
      </c>
      <c r="J12" s="178" t="str">
        <f t="shared" ref="J12" si="31">IF($A12="","",I12/$B12)</f>
        <v/>
      </c>
      <c r="K12" s="276" t="str">
        <f>IF($A12="","",CEILING(販売表!G12,$B12))</f>
        <v/>
      </c>
      <c r="L12" s="178" t="str">
        <f t="shared" ref="L12" si="32">IF($A12="","",K12/$B12)</f>
        <v/>
      </c>
    </row>
    <row r="13" spans="1:12" s="180" customFormat="1" ht="15" customHeight="1">
      <c r="A13" s="262" t="str">
        <f>IF(販売表!A13=0,"",販売表!A13)</f>
        <v/>
      </c>
      <c r="B13" s="263"/>
      <c r="C13" s="179" t="str">
        <f>IF($A13="","",CEILING(販売表!C13,$B13))</f>
        <v/>
      </c>
      <c r="D13" s="178" t="str">
        <f t="shared" si="0"/>
        <v/>
      </c>
      <c r="E13" s="276" t="str">
        <f>IF($A13="","",CEILING(販売表!D13,$B13))</f>
        <v/>
      </c>
      <c r="F13" s="178" t="str">
        <f t="shared" ref="F13" si="33">IF($A13="","",E13/$B13)</f>
        <v/>
      </c>
      <c r="G13" s="276" t="str">
        <f>IF($A13="","",CEILING(販売表!E13,$B13))</f>
        <v/>
      </c>
      <c r="H13" s="178" t="str">
        <f t="shared" ref="H13" si="34">IF($A13="","",G13/$B13)</f>
        <v/>
      </c>
      <c r="I13" s="276" t="str">
        <f>IF($A13="","",CEILING(販売表!F13,$B13))</f>
        <v/>
      </c>
      <c r="J13" s="178" t="str">
        <f t="shared" ref="J13" si="35">IF($A13="","",I13/$B13)</f>
        <v/>
      </c>
      <c r="K13" s="276" t="str">
        <f>IF($A13="","",CEILING(販売表!G13,$B13))</f>
        <v/>
      </c>
      <c r="L13" s="178" t="str">
        <f t="shared" ref="L13" si="36">IF($A13="","",K13/$B13)</f>
        <v/>
      </c>
    </row>
    <row r="14" spans="1:12" ht="15" customHeight="1">
      <c r="A14" s="213" t="str">
        <f>IF(販売表!A14=0,"",販売表!A14)</f>
        <v/>
      </c>
      <c r="B14" s="264"/>
      <c r="C14" s="39" t="str">
        <f>IF($A14="","",CEILING(販売表!C14,$B14))</f>
        <v/>
      </c>
      <c r="D14" s="40" t="str">
        <f t="shared" si="0"/>
        <v/>
      </c>
      <c r="E14" s="1" t="str">
        <f>IF($A14="","",CEILING(販売表!D14,$B14))</f>
        <v/>
      </c>
      <c r="F14" s="40" t="str">
        <f t="shared" ref="F14" si="37">IF($A14="","",E14/$B14)</f>
        <v/>
      </c>
      <c r="G14" s="1" t="str">
        <f>IF($A14="","",CEILING(販売表!E14,$B14))</f>
        <v/>
      </c>
      <c r="H14" s="40" t="str">
        <f t="shared" ref="H14" si="38">IF($A14="","",G14/$B14)</f>
        <v/>
      </c>
      <c r="I14" s="1" t="str">
        <f>IF($A14="","",CEILING(販売表!F14,$B14))</f>
        <v/>
      </c>
      <c r="J14" s="40" t="str">
        <f t="shared" ref="J14" si="39">IF($A14="","",I14/$B14)</f>
        <v/>
      </c>
      <c r="K14" s="1" t="str">
        <f>IF($A14="","",CEILING(販売表!G14,$B14))</f>
        <v/>
      </c>
      <c r="L14" s="40" t="str">
        <f t="shared" ref="L14" si="40">IF($A14="","",K14/$B14)</f>
        <v/>
      </c>
    </row>
    <row r="15" spans="1:12" ht="15" customHeight="1">
      <c r="A15" s="213" t="str">
        <f>IF(販売表!A15=0,"",販売表!A15)</f>
        <v/>
      </c>
      <c r="B15" s="264"/>
      <c r="C15" s="39" t="str">
        <f>IF($A15="","",CEILING(販売表!C15,$B15))</f>
        <v/>
      </c>
      <c r="D15" s="40" t="str">
        <f t="shared" si="0"/>
        <v/>
      </c>
      <c r="E15" s="1" t="str">
        <f>IF($A15="","",CEILING(販売表!D15,$B15))</f>
        <v/>
      </c>
      <c r="F15" s="40" t="str">
        <f t="shared" ref="F15" si="41">IF($A15="","",E15/$B15)</f>
        <v/>
      </c>
      <c r="G15" s="1" t="str">
        <f>IF($A15="","",CEILING(販売表!E15,$B15))</f>
        <v/>
      </c>
      <c r="H15" s="40" t="str">
        <f t="shared" ref="H15" si="42">IF($A15="","",G15/$B15)</f>
        <v/>
      </c>
      <c r="I15" s="1" t="str">
        <f>IF($A15="","",CEILING(販売表!F15,$B15))</f>
        <v/>
      </c>
      <c r="J15" s="40" t="str">
        <f t="shared" ref="J15" si="43">IF($A15="","",I15/$B15)</f>
        <v/>
      </c>
      <c r="K15" s="1" t="str">
        <f>IF($A15="","",CEILING(販売表!G15,$B15))</f>
        <v/>
      </c>
      <c r="L15" s="40" t="str">
        <f t="shared" ref="L15" si="44">IF($A15="","",K15/$B15)</f>
        <v/>
      </c>
    </row>
    <row r="16" spans="1:12" ht="15" customHeight="1">
      <c r="A16" s="213" t="str">
        <f>IF(販売表!A16=0,"",販売表!A16)</f>
        <v/>
      </c>
      <c r="B16" s="264"/>
      <c r="C16" s="39" t="str">
        <f>IF($A16="","",CEILING(販売表!C16,$B16))</f>
        <v/>
      </c>
      <c r="D16" s="40" t="str">
        <f t="shared" si="0"/>
        <v/>
      </c>
      <c r="E16" s="1" t="str">
        <f>IF($A16="","",CEILING(販売表!D16,$B16))</f>
        <v/>
      </c>
      <c r="F16" s="40" t="str">
        <f t="shared" ref="F16" si="45">IF($A16="","",E16/$B16)</f>
        <v/>
      </c>
      <c r="G16" s="1" t="str">
        <f>IF($A16="","",CEILING(販売表!E16,$B16))</f>
        <v/>
      </c>
      <c r="H16" s="40" t="str">
        <f t="shared" ref="H16" si="46">IF($A16="","",G16/$B16)</f>
        <v/>
      </c>
      <c r="I16" s="1" t="str">
        <f>IF($A16="","",CEILING(販売表!F16,$B16))</f>
        <v/>
      </c>
      <c r="J16" s="40" t="str">
        <f t="shared" ref="J16" si="47">IF($A16="","",I16/$B16)</f>
        <v/>
      </c>
      <c r="K16" s="1" t="str">
        <f>IF($A16="","",CEILING(販売表!G16,$B16))</f>
        <v/>
      </c>
      <c r="L16" s="40" t="str">
        <f t="shared" ref="L16" si="48">IF($A16="","",K16/$B16)</f>
        <v/>
      </c>
    </row>
    <row r="17" spans="1:12" ht="15.75" customHeight="1">
      <c r="A17" s="213" t="str">
        <f>IF(販売表!A17=0,"",販売表!A17)</f>
        <v/>
      </c>
      <c r="B17" s="264"/>
      <c r="C17" s="39" t="str">
        <f>IF($A17="","",CEILING(販売表!C17,$B17))</f>
        <v/>
      </c>
      <c r="D17" s="40" t="str">
        <f t="shared" si="0"/>
        <v/>
      </c>
      <c r="E17" s="1" t="str">
        <f>IF($A17="","",CEILING(販売表!D17,$B17))</f>
        <v/>
      </c>
      <c r="F17" s="40" t="str">
        <f t="shared" ref="F17" si="49">IF($A17="","",E17/$B17)</f>
        <v/>
      </c>
      <c r="G17" s="1" t="str">
        <f>IF($A17="","",CEILING(販売表!E17,$B17))</f>
        <v/>
      </c>
      <c r="H17" s="40" t="str">
        <f t="shared" ref="H17" si="50">IF($A17="","",G17/$B17)</f>
        <v/>
      </c>
      <c r="I17" s="1" t="str">
        <f>IF($A17="","",CEILING(販売表!F17,$B17))</f>
        <v/>
      </c>
      <c r="J17" s="40" t="str">
        <f t="shared" ref="J17" si="51">IF($A17="","",I17/$B17)</f>
        <v/>
      </c>
      <c r="K17" s="1" t="str">
        <f>IF($A17="","",CEILING(販売表!G17,$B17))</f>
        <v/>
      </c>
      <c r="L17" s="40" t="str">
        <f t="shared" ref="L17" si="52">IF($A17="","",K17/$B17)</f>
        <v/>
      </c>
    </row>
    <row r="18" spans="1:12" s="48" customFormat="1" ht="15">
      <c r="A18" s="265" t="str">
        <f>IF(販売表!A18=0,"",販売表!A18)</f>
        <v/>
      </c>
      <c r="B18" s="266"/>
      <c r="C18" s="39" t="str">
        <f>IF($A18="","",CEILING(販売表!C18,$B18))</f>
        <v/>
      </c>
      <c r="D18" s="40" t="str">
        <f t="shared" si="0"/>
        <v/>
      </c>
      <c r="E18" s="1" t="str">
        <f>IF($A18="","",CEILING(販売表!D18,$B18))</f>
        <v/>
      </c>
      <c r="F18" s="40" t="str">
        <f t="shared" ref="F18" si="53">IF($A18="","",E18/$B18)</f>
        <v/>
      </c>
      <c r="G18" s="1" t="str">
        <f>IF($A18="","",CEILING(販売表!E18,$B18))</f>
        <v/>
      </c>
      <c r="H18" s="40" t="str">
        <f t="shared" ref="H18" si="54">IF($A18="","",G18/$B18)</f>
        <v/>
      </c>
      <c r="I18" s="1" t="str">
        <f>IF($A18="","",CEILING(販売表!F18,$B18))</f>
        <v/>
      </c>
      <c r="J18" s="40" t="str">
        <f t="shared" ref="J18" si="55">IF($A18="","",I18/$B18)</f>
        <v/>
      </c>
      <c r="K18" s="1" t="str">
        <f>IF($A18="","",CEILING(販売表!G18,$B18))</f>
        <v/>
      </c>
      <c r="L18" s="40" t="str">
        <f t="shared" ref="L18" si="56">IF($A18="","",K18/$B18)</f>
        <v/>
      </c>
    </row>
    <row r="19" spans="1:12" ht="15">
      <c r="A19" s="260" t="str">
        <f>IF(販売表!A19=0,"",販売表!A19)</f>
        <v/>
      </c>
      <c r="B19" s="261"/>
      <c r="C19" s="39" t="str">
        <f>IF($A19="","",CEILING(販売表!C19,$B19))</f>
        <v/>
      </c>
      <c r="D19" s="40" t="str">
        <f t="shared" si="0"/>
        <v/>
      </c>
      <c r="E19" s="1" t="str">
        <f>IF($A19="","",CEILING(販売表!D19,$B19))</f>
        <v/>
      </c>
      <c r="F19" s="40" t="str">
        <f t="shared" ref="F19" si="57">IF($A19="","",E19/$B19)</f>
        <v/>
      </c>
      <c r="G19" s="1" t="str">
        <f>IF($A19="","",CEILING(販売表!E19,$B19))</f>
        <v/>
      </c>
      <c r="H19" s="40" t="str">
        <f t="shared" ref="H19" si="58">IF($A19="","",G19/$B19)</f>
        <v/>
      </c>
      <c r="I19" s="1" t="str">
        <f>IF($A19="","",CEILING(販売表!F19,$B19))</f>
        <v/>
      </c>
      <c r="J19" s="40" t="str">
        <f t="shared" ref="J19" si="59">IF($A19="","",I19/$B19)</f>
        <v/>
      </c>
      <c r="K19" s="1" t="str">
        <f>IF($A19="","",CEILING(販売表!G19,$B19))</f>
        <v/>
      </c>
      <c r="L19" s="40" t="str">
        <f t="shared" ref="L19" si="60">IF($A19="","",K19/$B19)</f>
        <v/>
      </c>
    </row>
    <row r="20" spans="1:12" s="48" customFormat="1" ht="15">
      <c r="A20" s="267" t="str">
        <f>IF(販売表!A20=0,"",販売表!A20)</f>
        <v/>
      </c>
      <c r="B20" s="261"/>
      <c r="C20" s="39" t="str">
        <f>IF($A20="","",CEILING(販売表!C20,$B20))</f>
        <v/>
      </c>
      <c r="D20" s="40" t="str">
        <f t="shared" si="0"/>
        <v/>
      </c>
      <c r="E20" s="1" t="str">
        <f>IF($A20="","",CEILING(販売表!D20,$B20))</f>
        <v/>
      </c>
      <c r="F20" s="40" t="str">
        <f t="shared" ref="F20" si="61">IF($A20="","",E20/$B20)</f>
        <v/>
      </c>
      <c r="G20" s="1" t="str">
        <f>IF($A20="","",CEILING(販売表!E20,$B20))</f>
        <v/>
      </c>
      <c r="H20" s="40" t="str">
        <f t="shared" ref="H20" si="62">IF($A20="","",G20/$B20)</f>
        <v/>
      </c>
      <c r="I20" s="1" t="str">
        <f>IF($A20="","",CEILING(販売表!F20,$B20))</f>
        <v/>
      </c>
      <c r="J20" s="40" t="str">
        <f t="shared" ref="J20" si="63">IF($A20="","",I20/$B20)</f>
        <v/>
      </c>
      <c r="K20" s="1" t="str">
        <f>IF($A20="","",CEILING(販売表!G20,$B20))</f>
        <v/>
      </c>
      <c r="L20" s="40" t="str">
        <f t="shared" ref="L20" si="64">IF($A20="","",K20/$B20)</f>
        <v/>
      </c>
    </row>
    <row r="21" spans="1:12" ht="15">
      <c r="A21" s="212" t="str">
        <f>IF(販売表!A21=0,"",販売表!A21)</f>
        <v/>
      </c>
      <c r="B21" s="261"/>
      <c r="C21" s="39" t="str">
        <f>IF($A21="","",CEILING(販売表!C21,$B21))</f>
        <v/>
      </c>
      <c r="D21" s="40" t="str">
        <f t="shared" si="0"/>
        <v/>
      </c>
      <c r="E21" s="1" t="str">
        <f>IF($A21="","",CEILING(販売表!D21,$B21))</f>
        <v/>
      </c>
      <c r="F21" s="40" t="str">
        <f t="shared" ref="F21" si="65">IF($A21="","",E21/$B21)</f>
        <v/>
      </c>
      <c r="G21" s="1" t="str">
        <f>IF($A21="","",CEILING(販売表!E21,$B21))</f>
        <v/>
      </c>
      <c r="H21" s="40" t="str">
        <f t="shared" ref="H21" si="66">IF($A21="","",G21/$B21)</f>
        <v/>
      </c>
      <c r="I21" s="1" t="str">
        <f>IF($A21="","",CEILING(販売表!F21,$B21))</f>
        <v/>
      </c>
      <c r="J21" s="40" t="str">
        <f t="shared" ref="J21" si="67">IF($A21="","",I21/$B21)</f>
        <v/>
      </c>
      <c r="K21" s="1" t="str">
        <f>IF($A21="","",CEILING(販売表!G21,$B21))</f>
        <v/>
      </c>
      <c r="L21" s="40" t="str">
        <f t="shared" ref="L21" si="68">IF($A21="","",K21/$B21)</f>
        <v/>
      </c>
    </row>
    <row r="22" spans="1:12" s="48" customFormat="1" ht="15">
      <c r="A22" s="260" t="str">
        <f>IF(販売表!A22=0,"",販売表!A22)</f>
        <v/>
      </c>
      <c r="B22" s="261"/>
      <c r="C22" s="39" t="str">
        <f>IF($A22="","",CEILING(販売表!C22,$B22))</f>
        <v/>
      </c>
      <c r="D22" s="40" t="str">
        <f t="shared" si="0"/>
        <v/>
      </c>
      <c r="E22" s="1" t="str">
        <f>IF($A22="","",CEILING(販売表!D22,$B22))</f>
        <v/>
      </c>
      <c r="F22" s="40" t="str">
        <f t="shared" ref="F22" si="69">IF($A22="","",E22/$B22)</f>
        <v/>
      </c>
      <c r="G22" s="1" t="str">
        <f>IF($A22="","",CEILING(販売表!E22,$B22))</f>
        <v/>
      </c>
      <c r="H22" s="40" t="str">
        <f t="shared" ref="H22" si="70">IF($A22="","",G22/$B22)</f>
        <v/>
      </c>
      <c r="I22" s="1" t="str">
        <f>IF($A22="","",CEILING(販売表!F22,$B22))</f>
        <v/>
      </c>
      <c r="J22" s="40" t="str">
        <f t="shared" ref="J22" si="71">IF($A22="","",I22/$B22)</f>
        <v/>
      </c>
      <c r="K22" s="1" t="str">
        <f>IF($A22="","",CEILING(販売表!G22,$B22))</f>
        <v/>
      </c>
      <c r="L22" s="40" t="str">
        <f t="shared" ref="L22" si="72">IF($A22="","",K22/$B22)</f>
        <v/>
      </c>
    </row>
    <row r="23" spans="1:12" ht="15">
      <c r="A23" s="260" t="str">
        <f>IF(販売表!A23=0,"",販売表!A23)</f>
        <v/>
      </c>
      <c r="B23" s="261"/>
      <c r="C23" s="39" t="str">
        <f>IF($A23="","",CEILING(販売表!C23,$B23))</f>
        <v/>
      </c>
      <c r="D23" s="40" t="str">
        <f t="shared" si="0"/>
        <v/>
      </c>
      <c r="E23" s="1" t="str">
        <f>IF($A23="","",CEILING(販売表!D23,$B23))</f>
        <v/>
      </c>
      <c r="F23" s="40" t="str">
        <f t="shared" ref="F23" si="73">IF($A23="","",E23/$B23)</f>
        <v/>
      </c>
      <c r="G23" s="1" t="str">
        <f>IF($A23="","",CEILING(販売表!E23,$B23))</f>
        <v/>
      </c>
      <c r="H23" s="40" t="str">
        <f t="shared" ref="H23" si="74">IF($A23="","",G23/$B23)</f>
        <v/>
      </c>
      <c r="I23" s="1" t="str">
        <f>IF($A23="","",CEILING(販売表!F23,$B23))</f>
        <v/>
      </c>
      <c r="J23" s="40" t="str">
        <f t="shared" ref="J23" si="75">IF($A23="","",I23/$B23)</f>
        <v/>
      </c>
      <c r="K23" s="1" t="str">
        <f>IF($A23="","",CEILING(販売表!G23,$B23))</f>
        <v/>
      </c>
      <c r="L23" s="40" t="str">
        <f t="shared" ref="L23" si="76">IF($A23="","",K23/$B23)</f>
        <v/>
      </c>
    </row>
    <row r="24" spans="1:12" s="48" customFormat="1" ht="15">
      <c r="A24" s="260" t="str">
        <f>IF(販売表!A24=0,"",販売表!A24)</f>
        <v/>
      </c>
      <c r="B24" s="261"/>
      <c r="C24" s="39" t="str">
        <f>IF($A24="","",CEILING(販売表!C24,$B24))</f>
        <v/>
      </c>
      <c r="D24" s="40" t="str">
        <f t="shared" si="0"/>
        <v/>
      </c>
      <c r="E24" s="1" t="str">
        <f>IF($A24="","",CEILING(販売表!D24,$B24))</f>
        <v/>
      </c>
      <c r="F24" s="40" t="str">
        <f t="shared" ref="F24" si="77">IF($A24="","",E24/$B24)</f>
        <v/>
      </c>
      <c r="G24" s="1" t="str">
        <f>IF($A24="","",CEILING(販売表!E24,$B24))</f>
        <v/>
      </c>
      <c r="H24" s="40" t="str">
        <f t="shared" ref="H24" si="78">IF($A24="","",G24/$B24)</f>
        <v/>
      </c>
      <c r="I24" s="1" t="str">
        <f>IF($A24="","",CEILING(販売表!F24,$B24))</f>
        <v/>
      </c>
      <c r="J24" s="40" t="str">
        <f t="shared" ref="J24" si="79">IF($A24="","",I24/$B24)</f>
        <v/>
      </c>
      <c r="K24" s="1" t="str">
        <f>IF($A24="","",CEILING(販売表!G24,$B24))</f>
        <v/>
      </c>
      <c r="L24" s="40" t="str">
        <f t="shared" ref="L24" si="80">IF($A24="","",K24/$B24)</f>
        <v/>
      </c>
    </row>
    <row r="25" spans="1:12" ht="15">
      <c r="A25" s="260" t="str">
        <f>IF(販売表!A25=0,"",販売表!A25)</f>
        <v/>
      </c>
      <c r="B25" s="261"/>
      <c r="C25" s="39" t="str">
        <f>IF($A25="","",CEILING(販売表!C25,$B25))</f>
        <v/>
      </c>
      <c r="D25" s="40" t="str">
        <f t="shared" si="0"/>
        <v/>
      </c>
      <c r="E25" s="1" t="str">
        <f>IF($A25="","",CEILING(販売表!D25,$B25))</f>
        <v/>
      </c>
      <c r="F25" s="40" t="str">
        <f t="shared" ref="F25" si="81">IF($A25="","",E25/$B25)</f>
        <v/>
      </c>
      <c r="G25" s="1" t="str">
        <f>IF($A25="","",CEILING(販売表!E25,$B25))</f>
        <v/>
      </c>
      <c r="H25" s="40" t="str">
        <f t="shared" ref="H25" si="82">IF($A25="","",G25/$B25)</f>
        <v/>
      </c>
      <c r="I25" s="1" t="str">
        <f>IF($A25="","",CEILING(販売表!F25,$B25))</f>
        <v/>
      </c>
      <c r="J25" s="40" t="str">
        <f t="shared" ref="J25" si="83">IF($A25="","",I25/$B25)</f>
        <v/>
      </c>
      <c r="K25" s="1" t="str">
        <f>IF($A25="","",CEILING(販売表!G25,$B25))</f>
        <v/>
      </c>
      <c r="L25" s="40" t="str">
        <f t="shared" ref="L25" si="84">IF($A25="","",K25/$B25)</f>
        <v/>
      </c>
    </row>
    <row r="26" spans="1:12" s="48" customFormat="1" ht="15">
      <c r="A26" s="260" t="str">
        <f>IF(販売表!A26=0,"",販売表!A26)</f>
        <v/>
      </c>
      <c r="B26" s="261"/>
      <c r="C26" s="39" t="str">
        <f>IF($A26="","",CEILING(販売表!C26,$B26))</f>
        <v/>
      </c>
      <c r="D26" s="40" t="str">
        <f t="shared" si="0"/>
        <v/>
      </c>
      <c r="E26" s="1" t="str">
        <f>IF($A26="","",CEILING(販売表!D26,$B26))</f>
        <v/>
      </c>
      <c r="F26" s="40" t="str">
        <f t="shared" ref="F26" si="85">IF($A26="","",E26/$B26)</f>
        <v/>
      </c>
      <c r="G26" s="1" t="str">
        <f>IF($A26="","",CEILING(販売表!E26,$B26))</f>
        <v/>
      </c>
      <c r="H26" s="40" t="str">
        <f t="shared" ref="H26" si="86">IF($A26="","",G26/$B26)</f>
        <v/>
      </c>
      <c r="I26" s="1" t="str">
        <f>IF($A26="","",CEILING(販売表!F26,$B26))</f>
        <v/>
      </c>
      <c r="J26" s="40" t="str">
        <f t="shared" ref="J26" si="87">IF($A26="","",I26/$B26)</f>
        <v/>
      </c>
      <c r="K26" s="1" t="str">
        <f>IF($A26="","",CEILING(販売表!G26,$B26))</f>
        <v/>
      </c>
      <c r="L26" s="40" t="str">
        <f t="shared" ref="L26" si="88">IF($A26="","",K26/$B26)</f>
        <v/>
      </c>
    </row>
    <row r="27" spans="1:12" ht="15">
      <c r="A27" s="260" t="str">
        <f>IF(販売表!A27=0,"",販売表!A27)</f>
        <v/>
      </c>
      <c r="B27" s="261"/>
      <c r="C27" s="39" t="str">
        <f>IF($A27="","",CEILING(販売表!C27,$B27))</f>
        <v/>
      </c>
      <c r="D27" s="40" t="str">
        <f t="shared" si="0"/>
        <v/>
      </c>
      <c r="E27" s="1" t="str">
        <f>IF($A27="","",CEILING(販売表!D27,$B27))</f>
        <v/>
      </c>
      <c r="F27" s="40" t="str">
        <f t="shared" ref="F27" si="89">IF($A27="","",E27/$B27)</f>
        <v/>
      </c>
      <c r="G27" s="1" t="str">
        <f>IF($A27="","",CEILING(販売表!E27,$B27))</f>
        <v/>
      </c>
      <c r="H27" s="40" t="str">
        <f t="shared" ref="H27" si="90">IF($A27="","",G27/$B27)</f>
        <v/>
      </c>
      <c r="I27" s="1" t="str">
        <f>IF($A27="","",CEILING(販売表!F27,$B27))</f>
        <v/>
      </c>
      <c r="J27" s="40" t="str">
        <f t="shared" ref="J27" si="91">IF($A27="","",I27/$B27)</f>
        <v/>
      </c>
      <c r="K27" s="1" t="str">
        <f>IF($A27="","",CEILING(販売表!G27,$B27))</f>
        <v/>
      </c>
      <c r="L27" s="40" t="str">
        <f t="shared" ref="L27" si="92">IF($A27="","",K27/$B27)</f>
        <v/>
      </c>
    </row>
    <row r="28" spans="1:12" s="48" customFormat="1" ht="15">
      <c r="A28" s="260" t="str">
        <f>IF(販売表!A28=0,"",販売表!A28)</f>
        <v/>
      </c>
      <c r="B28" s="261"/>
      <c r="C28" s="39" t="str">
        <f>IF($A28="","",CEILING(販売表!C28,$B28))</f>
        <v/>
      </c>
      <c r="D28" s="40" t="str">
        <f t="shared" si="0"/>
        <v/>
      </c>
      <c r="E28" s="1" t="str">
        <f>IF($A28="","",CEILING(販売表!D28,$B28))</f>
        <v/>
      </c>
      <c r="F28" s="40" t="str">
        <f t="shared" ref="F28" si="93">IF($A28="","",E28/$B28)</f>
        <v/>
      </c>
      <c r="G28" s="1" t="str">
        <f>IF($A28="","",CEILING(販売表!E28,$B28))</f>
        <v/>
      </c>
      <c r="H28" s="40" t="str">
        <f t="shared" ref="H28" si="94">IF($A28="","",G28/$B28)</f>
        <v/>
      </c>
      <c r="I28" s="1" t="str">
        <f>IF($A28="","",CEILING(販売表!F28,$B28))</f>
        <v/>
      </c>
      <c r="J28" s="40" t="str">
        <f t="shared" ref="J28" si="95">IF($A28="","",I28/$B28)</f>
        <v/>
      </c>
      <c r="K28" s="1" t="str">
        <f>IF($A28="","",CEILING(販売表!G28,$B28))</f>
        <v/>
      </c>
      <c r="L28" s="40" t="str">
        <f t="shared" ref="L28" si="96">IF($A28="","",K28/$B28)</f>
        <v/>
      </c>
    </row>
    <row r="29" spans="1:12" ht="15">
      <c r="A29" s="260" t="str">
        <f>IF(販売表!A29=0,"",販売表!A29)</f>
        <v/>
      </c>
      <c r="B29" s="261"/>
      <c r="C29" s="39" t="str">
        <f>IF($A29="","",CEILING(販売表!C29,$B29))</f>
        <v/>
      </c>
      <c r="D29" s="40" t="str">
        <f t="shared" si="0"/>
        <v/>
      </c>
      <c r="E29" s="1" t="str">
        <f>IF($A29="","",CEILING(販売表!D29,$B29))</f>
        <v/>
      </c>
      <c r="F29" s="40" t="str">
        <f t="shared" ref="F29" si="97">IF($A29="","",E29/$B29)</f>
        <v/>
      </c>
      <c r="G29" s="1" t="str">
        <f>IF($A29="","",CEILING(販売表!E29,$B29))</f>
        <v/>
      </c>
      <c r="H29" s="40" t="str">
        <f t="shared" ref="H29" si="98">IF($A29="","",G29/$B29)</f>
        <v/>
      </c>
      <c r="I29" s="1" t="str">
        <f>IF($A29="","",CEILING(販売表!F29,$B29))</f>
        <v/>
      </c>
      <c r="J29" s="40" t="str">
        <f t="shared" ref="J29" si="99">IF($A29="","",I29/$B29)</f>
        <v/>
      </c>
      <c r="K29" s="1" t="str">
        <f>IF($A29="","",CEILING(販売表!G29,$B29))</f>
        <v/>
      </c>
      <c r="L29" s="40" t="str">
        <f t="shared" ref="L29" si="100">IF($A29="","",K29/$B29)</f>
        <v/>
      </c>
    </row>
    <row r="30" spans="1:12" s="48" customFormat="1" ht="15">
      <c r="A30" s="260" t="str">
        <f>IF(販売表!A30=0,"",販売表!A30)</f>
        <v/>
      </c>
      <c r="B30" s="261"/>
      <c r="C30" s="39" t="str">
        <f>IF($A30="","",CEILING(販売表!C30,$B30))</f>
        <v/>
      </c>
      <c r="D30" s="40" t="str">
        <f t="shared" si="0"/>
        <v/>
      </c>
      <c r="E30" s="1" t="str">
        <f>IF($A30="","",CEILING(販売表!D30,$B30))</f>
        <v/>
      </c>
      <c r="F30" s="40" t="str">
        <f t="shared" ref="F30" si="101">IF($A30="","",E30/$B30)</f>
        <v/>
      </c>
      <c r="G30" s="1" t="str">
        <f>IF($A30="","",CEILING(販売表!E30,$B30))</f>
        <v/>
      </c>
      <c r="H30" s="40" t="str">
        <f t="shared" ref="H30" si="102">IF($A30="","",G30/$B30)</f>
        <v/>
      </c>
      <c r="I30" s="1" t="str">
        <f>IF($A30="","",CEILING(販売表!F30,$B30))</f>
        <v/>
      </c>
      <c r="J30" s="40" t="str">
        <f t="shared" ref="J30" si="103">IF($A30="","",I30/$B30)</f>
        <v/>
      </c>
      <c r="K30" s="1" t="str">
        <f>IF($A30="","",CEILING(販売表!G30,$B30))</f>
        <v/>
      </c>
      <c r="L30" s="40" t="str">
        <f t="shared" ref="L30" si="104">IF($A30="","",K30/$B30)</f>
        <v/>
      </c>
    </row>
    <row r="31" spans="1:12" ht="15">
      <c r="A31" s="260" t="str">
        <f>IF(販売表!A31=0,"",販売表!A31)</f>
        <v/>
      </c>
      <c r="B31" s="261"/>
      <c r="C31" s="39" t="str">
        <f>IF($A31="","",CEILING(販売表!C31,$B31))</f>
        <v/>
      </c>
      <c r="D31" s="40" t="str">
        <f t="shared" si="0"/>
        <v/>
      </c>
      <c r="E31" s="1" t="str">
        <f>IF($A31="","",CEILING(販売表!D31,$B31))</f>
        <v/>
      </c>
      <c r="F31" s="40" t="str">
        <f t="shared" ref="F31" si="105">IF($A31="","",E31/$B31)</f>
        <v/>
      </c>
      <c r="G31" s="1" t="str">
        <f>IF($A31="","",CEILING(販売表!E31,$B31))</f>
        <v/>
      </c>
      <c r="H31" s="40" t="str">
        <f t="shared" ref="H31" si="106">IF($A31="","",G31/$B31)</f>
        <v/>
      </c>
      <c r="I31" s="1" t="str">
        <f>IF($A31="","",CEILING(販売表!F31,$B31))</f>
        <v/>
      </c>
      <c r="J31" s="40" t="str">
        <f t="shared" ref="J31" si="107">IF($A31="","",I31/$B31)</f>
        <v/>
      </c>
      <c r="K31" s="1" t="str">
        <f>IF($A31="","",CEILING(販売表!G31,$B31))</f>
        <v/>
      </c>
      <c r="L31" s="40" t="str">
        <f t="shared" ref="L31" si="108">IF($A31="","",K31/$B31)</f>
        <v/>
      </c>
    </row>
    <row r="32" spans="1:12" s="48" customFormat="1" ht="15">
      <c r="A32" s="260" t="str">
        <f>IF(販売表!A32=0,"",販売表!A32)</f>
        <v/>
      </c>
      <c r="B32" s="261"/>
      <c r="C32" s="39" t="str">
        <f>IF($A32="","",CEILING(販売表!C32,$B32))</f>
        <v/>
      </c>
      <c r="D32" s="40" t="str">
        <f t="shared" si="0"/>
        <v/>
      </c>
      <c r="E32" s="1" t="str">
        <f>IF($A32="","",CEILING(販売表!D32,$B32))</f>
        <v/>
      </c>
      <c r="F32" s="40" t="str">
        <f t="shared" ref="F32" si="109">IF($A32="","",E32/$B32)</f>
        <v/>
      </c>
      <c r="G32" s="1" t="str">
        <f>IF($A32="","",CEILING(販売表!E32,$B32))</f>
        <v/>
      </c>
      <c r="H32" s="40" t="str">
        <f t="shared" ref="H32" si="110">IF($A32="","",G32/$B32)</f>
        <v/>
      </c>
      <c r="I32" s="1" t="str">
        <f>IF($A32="","",CEILING(販売表!F32,$B32))</f>
        <v/>
      </c>
      <c r="J32" s="40" t="str">
        <f t="shared" ref="J32" si="111">IF($A32="","",I32/$B32)</f>
        <v/>
      </c>
      <c r="K32" s="1" t="str">
        <f>IF($A32="","",CEILING(販売表!G32,$B32))</f>
        <v/>
      </c>
      <c r="L32" s="40" t="str">
        <f t="shared" ref="L32" si="112">IF($A32="","",K32/$B32)</f>
        <v/>
      </c>
    </row>
    <row r="33" spans="1:12" ht="15">
      <c r="A33" s="260" t="str">
        <f>IF(販売表!A33=0,"",販売表!A33)</f>
        <v/>
      </c>
      <c r="B33" s="261"/>
      <c r="C33" s="39" t="str">
        <f>IF($A33="","",CEILING(販売表!C33,$B33))</f>
        <v/>
      </c>
      <c r="D33" s="40" t="str">
        <f t="shared" si="0"/>
        <v/>
      </c>
      <c r="E33" s="1" t="str">
        <f>IF($A33="","",CEILING(販売表!D33,$B33))</f>
        <v/>
      </c>
      <c r="F33" s="40" t="str">
        <f t="shared" ref="F33" si="113">IF($A33="","",E33/$B33)</f>
        <v/>
      </c>
      <c r="G33" s="1" t="str">
        <f>IF($A33="","",CEILING(販売表!E33,$B33))</f>
        <v/>
      </c>
      <c r="H33" s="40" t="str">
        <f t="shared" ref="H33" si="114">IF($A33="","",G33/$B33)</f>
        <v/>
      </c>
      <c r="I33" s="1" t="str">
        <f>IF($A33="","",CEILING(販売表!F33,$B33))</f>
        <v/>
      </c>
      <c r="J33" s="40" t="str">
        <f t="shared" ref="J33" si="115">IF($A33="","",I33/$B33)</f>
        <v/>
      </c>
      <c r="K33" s="1" t="str">
        <f>IF($A33="","",CEILING(販売表!G33,$B33))</f>
        <v/>
      </c>
      <c r="L33" s="40" t="str">
        <f t="shared" ref="L33" si="116">IF($A33="","",K33/$B33)</f>
        <v/>
      </c>
    </row>
    <row r="34" spans="1:12" s="48" customFormat="1" ht="15">
      <c r="A34" s="260" t="str">
        <f>IF(販売表!A34=0,"",販売表!A34)</f>
        <v/>
      </c>
      <c r="B34" s="261"/>
      <c r="C34" s="39" t="str">
        <f>IF($A34="","",CEILING(販売表!C34,$B34))</f>
        <v/>
      </c>
      <c r="D34" s="40" t="str">
        <f t="shared" si="0"/>
        <v/>
      </c>
      <c r="E34" s="1" t="str">
        <f>IF($A34="","",CEILING(販売表!D34,$B34))</f>
        <v/>
      </c>
      <c r="F34" s="40" t="str">
        <f t="shared" ref="F34" si="117">IF($A34="","",E34/$B34)</f>
        <v/>
      </c>
      <c r="G34" s="1" t="str">
        <f>IF($A34="","",CEILING(販売表!E34,$B34))</f>
        <v/>
      </c>
      <c r="H34" s="40" t="str">
        <f t="shared" ref="H34" si="118">IF($A34="","",G34/$B34)</f>
        <v/>
      </c>
      <c r="I34" s="1" t="str">
        <f>IF($A34="","",CEILING(販売表!F34,$B34))</f>
        <v/>
      </c>
      <c r="J34" s="40" t="str">
        <f t="shared" ref="J34" si="119">IF($A34="","",I34/$B34)</f>
        <v/>
      </c>
      <c r="K34" s="1" t="str">
        <f>IF($A34="","",CEILING(販売表!G34,$B34))</f>
        <v/>
      </c>
      <c r="L34" s="40" t="str">
        <f t="shared" ref="L34" si="120">IF($A34="","",K34/$B34)</f>
        <v/>
      </c>
    </row>
    <row r="35" spans="1:12" s="180" customFormat="1" ht="15">
      <c r="A35" s="268" t="str">
        <f>IF(販売表!A35=0,"",販売表!A35)</f>
        <v/>
      </c>
      <c r="B35" s="269"/>
      <c r="C35" s="179" t="str">
        <f>IF($A35="","",CEILING(販売表!C35,$B35))</f>
        <v/>
      </c>
      <c r="D35" s="178" t="str">
        <f t="shared" si="0"/>
        <v/>
      </c>
      <c r="E35" s="276" t="str">
        <f>IF($A35="","",CEILING(販売表!D35,$B35))</f>
        <v/>
      </c>
      <c r="F35" s="178" t="str">
        <f t="shared" ref="F35" si="121">IF($A35="","",E35/$B35)</f>
        <v/>
      </c>
      <c r="G35" s="276" t="str">
        <f>IF($A35="","",CEILING(販売表!E35,$B35))</f>
        <v/>
      </c>
      <c r="H35" s="178" t="str">
        <f t="shared" ref="H35" si="122">IF($A35="","",G35/$B35)</f>
        <v/>
      </c>
      <c r="I35" s="276" t="str">
        <f>IF($A35="","",CEILING(販売表!F35,$B35))</f>
        <v/>
      </c>
      <c r="J35" s="178" t="str">
        <f t="shared" ref="J35" si="123">IF($A35="","",I35/$B35)</f>
        <v/>
      </c>
      <c r="K35" s="276" t="str">
        <f>IF($A35="","",CEILING(販売表!G35,$B35))</f>
        <v/>
      </c>
      <c r="L35" s="178" t="str">
        <f t="shared" ref="L35" si="124">IF($A35="","",K35/$B35)</f>
        <v/>
      </c>
    </row>
    <row r="36" spans="1:12" s="48" customFormat="1" ht="15">
      <c r="A36" s="260" t="str">
        <f>IF(販売表!A36=0,"",販売表!A36)</f>
        <v/>
      </c>
      <c r="B36" s="261"/>
      <c r="C36" s="39" t="str">
        <f>IF($A36="","",CEILING(販売表!C36,$B36))</f>
        <v/>
      </c>
      <c r="D36" s="40" t="str">
        <f t="shared" si="0"/>
        <v/>
      </c>
      <c r="E36" s="1" t="str">
        <f>IF($A36="","",CEILING(販売表!D36,$B36))</f>
        <v/>
      </c>
      <c r="F36" s="40" t="str">
        <f t="shared" ref="F36" si="125">IF($A36="","",E36/$B36)</f>
        <v/>
      </c>
      <c r="G36" s="1" t="str">
        <f>IF($A36="","",CEILING(販売表!E36,$B36))</f>
        <v/>
      </c>
      <c r="H36" s="40" t="str">
        <f t="shared" ref="H36" si="126">IF($A36="","",G36/$B36)</f>
        <v/>
      </c>
      <c r="I36" s="1" t="str">
        <f>IF($A36="","",CEILING(販売表!F36,$B36))</f>
        <v/>
      </c>
      <c r="J36" s="40" t="str">
        <f t="shared" ref="J36" si="127">IF($A36="","",I36/$B36)</f>
        <v/>
      </c>
      <c r="K36" s="1" t="str">
        <f>IF($A36="","",CEILING(販売表!G36,$B36))</f>
        <v/>
      </c>
      <c r="L36" s="40" t="str">
        <f t="shared" ref="L36" si="128">IF($A36="","",K36/$B36)</f>
        <v/>
      </c>
    </row>
    <row r="37" spans="1:12" ht="15">
      <c r="A37" s="260" t="str">
        <f>IF(販売表!A37=0,"",販売表!A37)</f>
        <v/>
      </c>
      <c r="B37" s="261"/>
      <c r="C37" s="39" t="str">
        <f>IF($A37="","",CEILING(販売表!C37,$B37))</f>
        <v/>
      </c>
      <c r="D37" s="40" t="str">
        <f t="shared" si="0"/>
        <v/>
      </c>
      <c r="E37" s="1" t="str">
        <f>IF($A37="","",CEILING(販売表!D37,$B37))</f>
        <v/>
      </c>
      <c r="F37" s="40" t="str">
        <f t="shared" ref="F37" si="129">IF($A37="","",E37/$B37)</f>
        <v/>
      </c>
      <c r="G37" s="1" t="str">
        <f>IF($A37="","",CEILING(販売表!E37,$B37))</f>
        <v/>
      </c>
      <c r="H37" s="40" t="str">
        <f t="shared" ref="H37" si="130">IF($A37="","",G37/$B37)</f>
        <v/>
      </c>
      <c r="I37" s="1" t="str">
        <f>IF($A37="","",CEILING(販売表!F37,$B37))</f>
        <v/>
      </c>
      <c r="J37" s="40" t="str">
        <f t="shared" ref="J37" si="131">IF($A37="","",I37/$B37)</f>
        <v/>
      </c>
      <c r="K37" s="1" t="str">
        <f>IF($A37="","",CEILING(販売表!G37,$B37))</f>
        <v/>
      </c>
      <c r="L37" s="40" t="str">
        <f t="shared" ref="L37" si="132">IF($A37="","",K37/$B37)</f>
        <v/>
      </c>
    </row>
    <row r="38" spans="1:12" s="48" customFormat="1" ht="15">
      <c r="A38" s="260" t="str">
        <f>IF(販売表!A38=0,"",販売表!A38)</f>
        <v/>
      </c>
      <c r="B38" s="261"/>
      <c r="C38" s="39" t="str">
        <f>IF($A38="","",CEILING(販売表!C38,$B38))</f>
        <v/>
      </c>
      <c r="D38" s="40" t="str">
        <f t="shared" si="0"/>
        <v/>
      </c>
      <c r="E38" s="1" t="str">
        <f>IF($A38="","",CEILING(販売表!D38,$B38))</f>
        <v/>
      </c>
      <c r="F38" s="40" t="str">
        <f t="shared" ref="F38" si="133">IF($A38="","",E38/$B38)</f>
        <v/>
      </c>
      <c r="G38" s="1" t="str">
        <f>IF($A38="","",CEILING(販売表!E38,$B38))</f>
        <v/>
      </c>
      <c r="H38" s="40" t="str">
        <f t="shared" ref="H38" si="134">IF($A38="","",G38/$B38)</f>
        <v/>
      </c>
      <c r="I38" s="1" t="str">
        <f>IF($A38="","",CEILING(販売表!F38,$B38))</f>
        <v/>
      </c>
      <c r="J38" s="40" t="str">
        <f t="shared" ref="J38" si="135">IF($A38="","",I38/$B38)</f>
        <v/>
      </c>
      <c r="K38" s="1" t="str">
        <f>IF($A38="","",CEILING(販売表!G38,$B38))</f>
        <v/>
      </c>
      <c r="L38" s="40" t="str">
        <f t="shared" ref="L38" si="136">IF($A38="","",K38/$B38)</f>
        <v/>
      </c>
    </row>
    <row r="39" spans="1:12" ht="15" customHeight="1">
      <c r="A39" s="260" t="str">
        <f>IF(販売表!A39=0,"",販売表!A39)</f>
        <v/>
      </c>
      <c r="B39" s="261"/>
      <c r="C39" s="39" t="str">
        <f>IF($A39="","",CEILING(販売表!C39,$B39))</f>
        <v/>
      </c>
      <c r="D39" s="40" t="str">
        <f t="shared" si="0"/>
        <v/>
      </c>
      <c r="E39" s="1" t="str">
        <f>IF($A39="","",CEILING(販売表!D39,$B39))</f>
        <v/>
      </c>
      <c r="F39" s="40" t="str">
        <f t="shared" ref="F39" si="137">IF($A39="","",E39/$B39)</f>
        <v/>
      </c>
      <c r="G39" s="1" t="str">
        <f>IF($A39="","",CEILING(販売表!E39,$B39))</f>
        <v/>
      </c>
      <c r="H39" s="40" t="str">
        <f t="shared" ref="H39" si="138">IF($A39="","",G39/$B39)</f>
        <v/>
      </c>
      <c r="I39" s="1" t="str">
        <f>IF($A39="","",CEILING(販売表!F39,$B39))</f>
        <v/>
      </c>
      <c r="J39" s="40" t="str">
        <f t="shared" ref="J39" si="139">IF($A39="","",I39/$B39)</f>
        <v/>
      </c>
      <c r="K39" s="1" t="str">
        <f>IF($A39="","",CEILING(販売表!G39,$B39))</f>
        <v/>
      </c>
      <c r="L39" s="40" t="str">
        <f t="shared" ref="L39" si="140">IF($A39="","",K39/$B39)</f>
        <v/>
      </c>
    </row>
    <row r="40" spans="1:12" s="48" customFormat="1" ht="15" customHeight="1">
      <c r="A40" s="260" t="str">
        <f>IF(販売表!A40=0,"",販売表!A40)</f>
        <v/>
      </c>
      <c r="B40" s="261"/>
      <c r="C40" s="39" t="str">
        <f>IF($A40="","",CEILING(販売表!C40,$B40))</f>
        <v/>
      </c>
      <c r="D40" s="40" t="str">
        <f t="shared" si="0"/>
        <v/>
      </c>
      <c r="E40" s="1" t="str">
        <f>IF($A40="","",CEILING(販売表!D40,$B40))</f>
        <v/>
      </c>
      <c r="F40" s="40" t="str">
        <f t="shared" ref="F40" si="141">IF($A40="","",E40/$B40)</f>
        <v/>
      </c>
      <c r="G40" s="1" t="str">
        <f>IF($A40="","",CEILING(販売表!E40,$B40))</f>
        <v/>
      </c>
      <c r="H40" s="40" t="str">
        <f t="shared" ref="H40" si="142">IF($A40="","",G40/$B40)</f>
        <v/>
      </c>
      <c r="I40" s="1" t="str">
        <f>IF($A40="","",CEILING(販売表!F40,$B40))</f>
        <v/>
      </c>
      <c r="J40" s="40" t="str">
        <f t="shared" ref="J40" si="143">IF($A40="","",I40/$B40)</f>
        <v/>
      </c>
      <c r="K40" s="1" t="str">
        <f>IF($A40="","",CEILING(販売表!G40,$B40))</f>
        <v/>
      </c>
      <c r="L40" s="40" t="str">
        <f t="shared" ref="L40" si="144">IF($A40="","",K40/$B40)</f>
        <v/>
      </c>
    </row>
    <row r="41" spans="1:12" ht="15" customHeight="1">
      <c r="A41" s="260" t="str">
        <f>IF(販売表!A41=0,"",販売表!A41)</f>
        <v/>
      </c>
      <c r="B41" s="261"/>
      <c r="C41" s="39" t="str">
        <f>IF($A41="","",CEILING(販売表!C41,$B41))</f>
        <v/>
      </c>
      <c r="D41" s="40" t="str">
        <f t="shared" si="0"/>
        <v/>
      </c>
      <c r="E41" s="1" t="str">
        <f>IF($A41="","",CEILING(販売表!D41,$B41))</f>
        <v/>
      </c>
      <c r="F41" s="40" t="str">
        <f t="shared" ref="F41" si="145">IF($A41="","",E41/$B41)</f>
        <v/>
      </c>
      <c r="G41" s="1" t="str">
        <f>IF($A41="","",CEILING(販売表!E41,$B41))</f>
        <v/>
      </c>
      <c r="H41" s="40" t="str">
        <f t="shared" ref="H41" si="146">IF($A41="","",G41/$B41)</f>
        <v/>
      </c>
      <c r="I41" s="1" t="str">
        <f>IF($A41="","",CEILING(販売表!F41,$B41))</f>
        <v/>
      </c>
      <c r="J41" s="40" t="str">
        <f t="shared" ref="J41" si="147">IF($A41="","",I41/$B41)</f>
        <v/>
      </c>
      <c r="K41" s="1" t="str">
        <f>IF($A41="","",CEILING(販売表!G41,$B41))</f>
        <v/>
      </c>
      <c r="L41" s="40" t="str">
        <f t="shared" ref="L41" si="148">IF($A41="","",K41/$B41)</f>
        <v/>
      </c>
    </row>
    <row r="42" spans="1:12" s="48" customFormat="1" ht="15" customHeight="1">
      <c r="A42" s="260" t="str">
        <f>IF(販売表!A42=0,"",販売表!A42)</f>
        <v/>
      </c>
      <c r="B42" s="261"/>
      <c r="C42" s="39" t="str">
        <f>IF($A42="","",CEILING(販売表!C42,$B42))</f>
        <v/>
      </c>
      <c r="D42" s="40" t="str">
        <f t="shared" si="0"/>
        <v/>
      </c>
      <c r="E42" s="1" t="str">
        <f>IF($A42="","",CEILING(販売表!D42,$B42))</f>
        <v/>
      </c>
      <c r="F42" s="40" t="str">
        <f t="shared" ref="F42" si="149">IF($A42="","",E42/$B42)</f>
        <v/>
      </c>
      <c r="G42" s="1" t="str">
        <f>IF($A42="","",CEILING(販売表!E42,$B42))</f>
        <v/>
      </c>
      <c r="H42" s="40" t="str">
        <f t="shared" ref="H42" si="150">IF($A42="","",G42/$B42)</f>
        <v/>
      </c>
      <c r="I42" s="1" t="str">
        <f>IF($A42="","",CEILING(販売表!F42,$B42))</f>
        <v/>
      </c>
      <c r="J42" s="40" t="str">
        <f t="shared" ref="J42" si="151">IF($A42="","",I42/$B42)</f>
        <v/>
      </c>
      <c r="K42" s="1" t="str">
        <f>IF($A42="","",CEILING(販売表!G42,$B42))</f>
        <v/>
      </c>
      <c r="L42" s="40" t="str">
        <f t="shared" ref="L42" si="152">IF($A42="","",K42/$B42)</f>
        <v/>
      </c>
    </row>
    <row r="43" spans="1:12" ht="15" customHeight="1">
      <c r="A43" s="260" t="str">
        <f>IF(販売表!A43=0,"",販売表!A43)</f>
        <v/>
      </c>
      <c r="B43" s="261"/>
      <c r="C43" s="39" t="str">
        <f>IF($A43="","",CEILING(販売表!C43,$B43))</f>
        <v/>
      </c>
      <c r="D43" s="40" t="str">
        <f t="shared" si="0"/>
        <v/>
      </c>
      <c r="E43" s="1" t="str">
        <f>IF($A43="","",CEILING(販売表!D43,$B43))</f>
        <v/>
      </c>
      <c r="F43" s="40" t="str">
        <f t="shared" ref="F43" si="153">IF($A43="","",E43/$B43)</f>
        <v/>
      </c>
      <c r="G43" s="1" t="str">
        <f>IF($A43="","",CEILING(販売表!E43,$B43))</f>
        <v/>
      </c>
      <c r="H43" s="40" t="str">
        <f t="shared" ref="H43" si="154">IF($A43="","",G43/$B43)</f>
        <v/>
      </c>
      <c r="I43" s="1" t="str">
        <f>IF($A43="","",CEILING(販売表!F43,$B43))</f>
        <v/>
      </c>
      <c r="J43" s="40" t="str">
        <f t="shared" ref="J43" si="155">IF($A43="","",I43/$B43)</f>
        <v/>
      </c>
      <c r="K43" s="1" t="str">
        <f>IF($A43="","",CEILING(販売表!G43,$B43))</f>
        <v/>
      </c>
      <c r="L43" s="40" t="str">
        <f t="shared" ref="L43" si="156">IF($A43="","",K43/$B43)</f>
        <v/>
      </c>
    </row>
    <row r="44" spans="1:12" s="48" customFormat="1" ht="15" customHeight="1">
      <c r="A44" s="260" t="str">
        <f>IF(販売表!A44=0,"",販売表!A44)</f>
        <v/>
      </c>
      <c r="B44" s="261"/>
      <c r="C44" s="39" t="str">
        <f>IF($A44="","",CEILING(販売表!C44,$B44))</f>
        <v/>
      </c>
      <c r="D44" s="40" t="str">
        <f t="shared" si="0"/>
        <v/>
      </c>
      <c r="E44" s="1" t="str">
        <f>IF($A44="","",CEILING(販売表!D44,$B44))</f>
        <v/>
      </c>
      <c r="F44" s="40" t="str">
        <f t="shared" ref="F44" si="157">IF($A44="","",E44/$B44)</f>
        <v/>
      </c>
      <c r="G44" s="1" t="str">
        <f>IF($A44="","",CEILING(販売表!E44,$B44))</f>
        <v/>
      </c>
      <c r="H44" s="40" t="str">
        <f t="shared" ref="H44" si="158">IF($A44="","",G44/$B44)</f>
        <v/>
      </c>
      <c r="I44" s="1" t="str">
        <f>IF($A44="","",CEILING(販売表!F44,$B44))</f>
        <v/>
      </c>
      <c r="J44" s="40" t="str">
        <f t="shared" ref="J44" si="159">IF($A44="","",I44/$B44)</f>
        <v/>
      </c>
      <c r="K44" s="1" t="str">
        <f>IF($A44="","",CEILING(販売表!G44,$B44))</f>
        <v/>
      </c>
      <c r="L44" s="40" t="str">
        <f t="shared" ref="L44" si="160">IF($A44="","",K44/$B44)</f>
        <v/>
      </c>
    </row>
    <row r="45" spans="1:12" ht="15" customHeight="1">
      <c r="A45" s="260" t="str">
        <f>IF(販売表!A45=0,"",販売表!A45)</f>
        <v/>
      </c>
      <c r="B45" s="261"/>
      <c r="C45" s="39" t="str">
        <f>IF($A45="","",CEILING(販売表!C45,$B45))</f>
        <v/>
      </c>
      <c r="D45" s="40" t="str">
        <f t="shared" si="0"/>
        <v/>
      </c>
      <c r="E45" s="1" t="str">
        <f>IF($A45="","",CEILING(販売表!D45,$B45))</f>
        <v/>
      </c>
      <c r="F45" s="40" t="str">
        <f t="shared" ref="F45" si="161">IF($A45="","",E45/$B45)</f>
        <v/>
      </c>
      <c r="G45" s="1" t="str">
        <f>IF($A45="","",CEILING(販売表!E45,$B45))</f>
        <v/>
      </c>
      <c r="H45" s="40" t="str">
        <f t="shared" ref="H45" si="162">IF($A45="","",G45/$B45)</f>
        <v/>
      </c>
      <c r="I45" s="1" t="str">
        <f>IF($A45="","",CEILING(販売表!F45,$B45))</f>
        <v/>
      </c>
      <c r="J45" s="40" t="str">
        <f t="shared" ref="J45" si="163">IF($A45="","",I45/$B45)</f>
        <v/>
      </c>
      <c r="K45" s="1" t="str">
        <f>IF($A45="","",CEILING(販売表!G45,$B45))</f>
        <v/>
      </c>
      <c r="L45" s="40" t="str">
        <f t="shared" ref="L45" si="164">IF($A45="","",K45/$B45)</f>
        <v/>
      </c>
    </row>
    <row r="46" spans="1:12" s="48" customFormat="1" ht="15" customHeight="1">
      <c r="A46" s="260" t="str">
        <f>IF(販売表!A46=0,"",販売表!A46)</f>
        <v/>
      </c>
      <c r="B46" s="261"/>
      <c r="C46" s="39" t="str">
        <f>IF($A46="","",CEILING(販売表!C46,$B46))</f>
        <v/>
      </c>
      <c r="D46" s="40" t="str">
        <f t="shared" si="0"/>
        <v/>
      </c>
      <c r="E46" s="1" t="str">
        <f>IF($A46="","",CEILING(販売表!D46,$B46))</f>
        <v/>
      </c>
      <c r="F46" s="40" t="str">
        <f t="shared" ref="F46" si="165">IF($A46="","",E46/$B46)</f>
        <v/>
      </c>
      <c r="G46" s="1" t="str">
        <f>IF($A46="","",CEILING(販売表!E46,$B46))</f>
        <v/>
      </c>
      <c r="H46" s="40" t="str">
        <f t="shared" ref="H46" si="166">IF($A46="","",G46/$B46)</f>
        <v/>
      </c>
      <c r="I46" s="1" t="str">
        <f>IF($A46="","",CEILING(販売表!F46,$B46))</f>
        <v/>
      </c>
      <c r="J46" s="40" t="str">
        <f t="shared" ref="J46" si="167">IF($A46="","",I46/$B46)</f>
        <v/>
      </c>
      <c r="K46" s="1" t="str">
        <f>IF($A46="","",CEILING(販売表!G46,$B46))</f>
        <v/>
      </c>
      <c r="L46" s="40" t="str">
        <f t="shared" ref="L46" si="168">IF($A46="","",K46/$B46)</f>
        <v/>
      </c>
    </row>
    <row r="47" spans="1:12" ht="15" customHeight="1">
      <c r="A47" s="270" t="str">
        <f>IF(販売表!A47=0,"",販売表!A47)</f>
        <v/>
      </c>
      <c r="B47" s="261"/>
      <c r="C47" s="39" t="str">
        <f>IF($A47="","",CEILING(販売表!C47,$B47))</f>
        <v/>
      </c>
      <c r="D47" s="40" t="str">
        <f t="shared" si="0"/>
        <v/>
      </c>
      <c r="E47" s="1" t="str">
        <f>IF($A47="","",CEILING(販売表!D47,$B47))</f>
        <v/>
      </c>
      <c r="F47" s="40" t="str">
        <f t="shared" ref="F47" si="169">IF($A47="","",E47/$B47)</f>
        <v/>
      </c>
      <c r="G47" s="1" t="str">
        <f>IF($A47="","",CEILING(販売表!E47,$B47))</f>
        <v/>
      </c>
      <c r="H47" s="40" t="str">
        <f t="shared" ref="H47" si="170">IF($A47="","",G47/$B47)</f>
        <v/>
      </c>
      <c r="I47" s="1" t="str">
        <f>IF($A47="","",CEILING(販売表!F47,$B47))</f>
        <v/>
      </c>
      <c r="J47" s="40" t="str">
        <f t="shared" ref="J47" si="171">IF($A47="","",I47/$B47)</f>
        <v/>
      </c>
      <c r="K47" s="1" t="str">
        <f>IF($A47="","",CEILING(販売表!G47,$B47))</f>
        <v/>
      </c>
      <c r="L47" s="40" t="str">
        <f t="shared" ref="L47" si="172">IF($A47="","",K47/$B47)</f>
        <v/>
      </c>
    </row>
    <row r="48" spans="1:12" ht="15" customHeight="1">
      <c r="A48" s="270" t="str">
        <f>IF(販売表!A48=0,"",販売表!A48)</f>
        <v/>
      </c>
      <c r="B48" s="264"/>
      <c r="C48" s="39" t="str">
        <f>IF($A48="","",CEILING(販売表!C48,$B48))</f>
        <v/>
      </c>
      <c r="D48" s="40" t="str">
        <f t="shared" si="0"/>
        <v/>
      </c>
      <c r="E48" s="1" t="str">
        <f>IF($A48="","",CEILING(販売表!D48,$B48))</f>
        <v/>
      </c>
      <c r="F48" s="40" t="str">
        <f t="shared" ref="F48" si="173">IF($A48="","",E48/$B48)</f>
        <v/>
      </c>
      <c r="G48" s="1" t="str">
        <f>IF($A48="","",CEILING(販売表!E48,$B48))</f>
        <v/>
      </c>
      <c r="H48" s="40" t="str">
        <f t="shared" ref="H48" si="174">IF($A48="","",G48/$B48)</f>
        <v/>
      </c>
      <c r="I48" s="1" t="str">
        <f>IF($A48="","",CEILING(販売表!F48,$B48))</f>
        <v/>
      </c>
      <c r="J48" s="40" t="str">
        <f t="shared" ref="J48" si="175">IF($A48="","",I48/$B48)</f>
        <v/>
      </c>
      <c r="K48" s="1" t="str">
        <f>IF($A48="","",CEILING(販売表!G48,$B48))</f>
        <v/>
      </c>
      <c r="L48" s="40" t="str">
        <f t="shared" ref="L48" si="176">IF($A48="","",K48/$B48)</f>
        <v/>
      </c>
    </row>
    <row r="49" spans="1:12" ht="15" customHeight="1">
      <c r="A49" s="260" t="str">
        <f>IF(販売表!A49=0,"",販売表!A49)</f>
        <v/>
      </c>
      <c r="B49" s="261"/>
      <c r="C49" s="39" t="str">
        <f>IF($A49="","",CEILING(販売表!C49,$B49))</f>
        <v/>
      </c>
      <c r="D49" s="40" t="str">
        <f t="shared" si="0"/>
        <v/>
      </c>
      <c r="E49" s="1" t="str">
        <f>IF($A49="","",CEILING(販売表!D49,$B49))</f>
        <v/>
      </c>
      <c r="F49" s="40" t="str">
        <f t="shared" ref="F49" si="177">IF($A49="","",E49/$B49)</f>
        <v/>
      </c>
      <c r="G49" s="1" t="str">
        <f>IF($A49="","",CEILING(販売表!E49,$B49))</f>
        <v/>
      </c>
      <c r="H49" s="40" t="str">
        <f t="shared" ref="H49" si="178">IF($A49="","",G49/$B49)</f>
        <v/>
      </c>
      <c r="I49" s="1" t="str">
        <f>IF($A49="","",CEILING(販売表!F49,$B49))</f>
        <v/>
      </c>
      <c r="J49" s="40" t="str">
        <f t="shared" ref="J49" si="179">IF($A49="","",I49/$B49)</f>
        <v/>
      </c>
      <c r="K49" s="1" t="str">
        <f>IF($A49="","",CEILING(販売表!G49,$B49))</f>
        <v/>
      </c>
      <c r="L49" s="40" t="str">
        <f t="shared" ref="L49" si="180">IF($A49="","",K49/$B49)</f>
        <v/>
      </c>
    </row>
    <row r="50" spans="1:12" ht="15" customHeight="1">
      <c r="A50" s="260" t="str">
        <f>IF(販売表!A50=0,"",販売表!A50)</f>
        <v/>
      </c>
      <c r="B50" s="261"/>
      <c r="C50" s="39" t="str">
        <f>IF($A50="","",CEILING(販売表!C50,$B50))</f>
        <v/>
      </c>
      <c r="D50" s="40" t="str">
        <f t="shared" si="0"/>
        <v/>
      </c>
      <c r="E50" s="1" t="str">
        <f>IF($A50="","",CEILING(販売表!D50,$B50))</f>
        <v/>
      </c>
      <c r="F50" s="40" t="str">
        <f t="shared" ref="F50" si="181">IF($A50="","",E50/$B50)</f>
        <v/>
      </c>
      <c r="G50" s="1" t="str">
        <f>IF($A50="","",CEILING(販売表!E50,$B50))</f>
        <v/>
      </c>
      <c r="H50" s="40" t="str">
        <f t="shared" ref="H50" si="182">IF($A50="","",G50/$B50)</f>
        <v/>
      </c>
      <c r="I50" s="1" t="str">
        <f>IF($A50="","",CEILING(販売表!F50,$B50))</f>
        <v/>
      </c>
      <c r="J50" s="40" t="str">
        <f t="shared" ref="J50" si="183">IF($A50="","",I50/$B50)</f>
        <v/>
      </c>
      <c r="K50" s="1" t="str">
        <f>IF($A50="","",CEILING(販売表!G50,$B50))</f>
        <v/>
      </c>
      <c r="L50" s="40" t="str">
        <f t="shared" ref="L50" si="184">IF($A50="","",K50/$B50)</f>
        <v/>
      </c>
    </row>
    <row r="51" spans="1:12" ht="15" customHeight="1">
      <c r="A51" s="260" t="str">
        <f>IF(販売表!A51=0,"",販売表!A51)</f>
        <v/>
      </c>
      <c r="B51" s="261"/>
      <c r="C51" s="39" t="str">
        <f>IF($A51="","",CEILING(販売表!C51,$B51))</f>
        <v/>
      </c>
      <c r="D51" s="40" t="str">
        <f t="shared" si="0"/>
        <v/>
      </c>
      <c r="E51" s="39" t="str">
        <f>IF($A51="","",CEILING(販売表!D51,$B51))</f>
        <v/>
      </c>
      <c r="F51" s="40" t="str">
        <f t="shared" ref="F51" si="185">IF($A51="","",E51/$B51)</f>
        <v/>
      </c>
      <c r="G51" s="39" t="str">
        <f>IF($A51="","",CEILING(販売表!E51,$B51))</f>
        <v/>
      </c>
      <c r="H51" s="40" t="str">
        <f t="shared" ref="H51" si="186">IF($A51="","",G51/$B51)</f>
        <v/>
      </c>
      <c r="I51" s="39" t="str">
        <f>IF($A51="","",CEILING(販売表!F51,$B51))</f>
        <v/>
      </c>
      <c r="J51" s="40" t="str">
        <f t="shared" ref="J51" si="187">IF($A51="","",I51/$B51)</f>
        <v/>
      </c>
      <c r="K51" s="39" t="str">
        <f>IF($A51="","",CEILING(販売表!G51,$B51))</f>
        <v/>
      </c>
      <c r="L51" s="40" t="str">
        <f t="shared" ref="L51" si="188">IF($A51="","",K51/$B51)</f>
        <v/>
      </c>
    </row>
    <row r="52" spans="1:12" ht="15" customHeight="1">
      <c r="A52" s="270" t="str">
        <f>IF(販売表!A52=0,"",販売表!A52)</f>
        <v/>
      </c>
      <c r="B52" s="261"/>
      <c r="C52" s="39" t="str">
        <f>IF($A52="","",CEILING(販売表!C52,$B52))</f>
        <v/>
      </c>
      <c r="D52" s="40" t="str">
        <f t="shared" si="0"/>
        <v/>
      </c>
      <c r="E52" s="39" t="str">
        <f>IF($A52="","",CEILING(販売表!D52,$B52))</f>
        <v/>
      </c>
      <c r="F52" s="40" t="str">
        <f t="shared" ref="F52" si="189">IF($A52="","",E52/$B52)</f>
        <v/>
      </c>
      <c r="G52" s="39" t="str">
        <f>IF($A52="","",CEILING(販売表!E52,$B52))</f>
        <v/>
      </c>
      <c r="H52" s="40" t="str">
        <f t="shared" ref="H52" si="190">IF($A52="","",G52/$B52)</f>
        <v/>
      </c>
      <c r="I52" s="39" t="str">
        <f>IF($A52="","",CEILING(販売表!F52,$B52))</f>
        <v/>
      </c>
      <c r="J52" s="40" t="str">
        <f t="shared" ref="J52" si="191">IF($A52="","",I52/$B52)</f>
        <v/>
      </c>
      <c r="K52" s="39" t="str">
        <f>IF($A52="","",CEILING(販売表!G52,$B52))</f>
        <v/>
      </c>
      <c r="L52" s="40" t="str">
        <f t="shared" ref="L52" si="192">IF($A52="","",K52/$B52)</f>
        <v/>
      </c>
    </row>
    <row r="53" spans="1:12" ht="15" customHeight="1">
      <c r="A53" s="270" t="str">
        <f>IF(販売表!A53=0,"",販売表!A53)</f>
        <v/>
      </c>
      <c r="B53" s="264"/>
      <c r="C53" s="39" t="str">
        <f>IF($A53="","",CEILING(販売表!C53,$B53))</f>
        <v/>
      </c>
      <c r="D53" s="40" t="str">
        <f t="shared" si="0"/>
        <v/>
      </c>
      <c r="E53" s="39" t="str">
        <f>IF($A53="","",CEILING(販売表!D53,$B53))</f>
        <v/>
      </c>
      <c r="F53" s="40" t="str">
        <f t="shared" ref="F53" si="193">IF($A53="","",E53/$B53)</f>
        <v/>
      </c>
      <c r="G53" s="39" t="str">
        <f>IF($A53="","",CEILING(販売表!E53,$B53))</f>
        <v/>
      </c>
      <c r="H53" s="40" t="str">
        <f t="shared" ref="H53" si="194">IF($A53="","",G53/$B53)</f>
        <v/>
      </c>
      <c r="I53" s="39" t="str">
        <f>IF($A53="","",CEILING(販売表!F53,$B53))</f>
        <v/>
      </c>
      <c r="J53" s="40" t="str">
        <f t="shared" ref="J53" si="195">IF($A53="","",I53/$B53)</f>
        <v/>
      </c>
      <c r="K53" s="39" t="str">
        <f>IF($A53="","",CEILING(販売表!G53,$B53))</f>
        <v/>
      </c>
      <c r="L53" s="40" t="str">
        <f t="shared" ref="L53" si="196">IF($A53="","",K53/$B53)</f>
        <v/>
      </c>
    </row>
    <row r="54" spans="1:12" ht="15" customHeight="1">
      <c r="A54" s="260" t="str">
        <f>IF(販売表!A54=0,"",販売表!A54)</f>
        <v/>
      </c>
      <c r="B54" s="261"/>
      <c r="C54" s="39" t="str">
        <f>IF($A54="","",CEILING(販売表!C54,$B54))</f>
        <v/>
      </c>
      <c r="D54" s="40" t="str">
        <f t="shared" si="0"/>
        <v/>
      </c>
      <c r="E54" s="39" t="str">
        <f>IF($A54="","",CEILING(販売表!D54,$B54))</f>
        <v/>
      </c>
      <c r="F54" s="40" t="str">
        <f t="shared" ref="F54" si="197">IF($A54="","",E54/$B54)</f>
        <v/>
      </c>
      <c r="G54" s="39" t="str">
        <f>IF($A54="","",CEILING(販売表!E54,$B54))</f>
        <v/>
      </c>
      <c r="H54" s="40" t="str">
        <f t="shared" ref="H54" si="198">IF($A54="","",G54/$B54)</f>
        <v/>
      </c>
      <c r="I54" s="39" t="str">
        <f>IF($A54="","",CEILING(販売表!F54,$B54))</f>
        <v/>
      </c>
      <c r="J54" s="40" t="str">
        <f t="shared" ref="J54" si="199">IF($A54="","",I54/$B54)</f>
        <v/>
      </c>
      <c r="K54" s="39" t="str">
        <f>IF($A54="","",CEILING(販売表!G54,$B54))</f>
        <v/>
      </c>
      <c r="L54" s="40" t="str">
        <f t="shared" ref="L54" si="200">IF($A54="","",K54/$B54)</f>
        <v/>
      </c>
    </row>
    <row r="55" spans="1:12" ht="15" customHeight="1">
      <c r="A55" s="260" t="str">
        <f>IF(販売表!A55=0,"",販売表!A55)</f>
        <v/>
      </c>
      <c r="B55" s="261"/>
      <c r="C55" s="39" t="str">
        <f>IF($A55="","",CEILING(販売表!C55,$B55))</f>
        <v/>
      </c>
      <c r="D55" s="40" t="str">
        <f t="shared" si="0"/>
        <v/>
      </c>
      <c r="E55" s="39" t="str">
        <f>IF($A55="","",CEILING(販売表!D55,$B55))</f>
        <v/>
      </c>
      <c r="F55" s="40" t="str">
        <f t="shared" ref="F55" si="201">IF($A55="","",E55/$B55)</f>
        <v/>
      </c>
      <c r="G55" s="39" t="str">
        <f>IF($A55="","",CEILING(販売表!E55,$B55))</f>
        <v/>
      </c>
      <c r="H55" s="40" t="str">
        <f t="shared" ref="H55" si="202">IF($A55="","",G55/$B55)</f>
        <v/>
      </c>
      <c r="I55" s="39" t="str">
        <f>IF($A55="","",CEILING(販売表!F55,$B55))</f>
        <v/>
      </c>
      <c r="J55" s="40" t="str">
        <f t="shared" ref="J55" si="203">IF($A55="","",I55/$B55)</f>
        <v/>
      </c>
      <c r="K55" s="39" t="str">
        <f>IF($A55="","",CEILING(販売表!G55,$B55))</f>
        <v/>
      </c>
      <c r="L55" s="40" t="str">
        <f t="shared" ref="L55" si="204">IF($A55="","",K55/$B55)</f>
        <v/>
      </c>
    </row>
    <row r="56" spans="1:12" ht="15" customHeight="1">
      <c r="A56" s="271" t="str">
        <f>IF(販売表!A55=0,"",販売表!A55)</f>
        <v/>
      </c>
      <c r="B56" s="272"/>
      <c r="C56" s="39" t="str">
        <f>IF($A56="","",CEILING(販売表!C55,$B56))</f>
        <v/>
      </c>
      <c r="D56" s="40" t="str">
        <f t="shared" si="0"/>
        <v/>
      </c>
      <c r="E56" s="39" t="str">
        <f>IF($A56="","",CEILING(販売表!D55,$B56))</f>
        <v/>
      </c>
      <c r="F56" s="40" t="str">
        <f t="shared" ref="F56:F57" si="205">IF($A56="","",E56/$B56)</f>
        <v/>
      </c>
      <c r="G56" s="39" t="str">
        <f>IF($A56="","",CEILING(販売表!E55,$B56))</f>
        <v/>
      </c>
      <c r="H56" s="40" t="str">
        <f t="shared" ref="H56:H57" si="206">IF($A56="","",G56/$B56)</f>
        <v/>
      </c>
      <c r="I56" s="39" t="str">
        <f>IF($A56="","",CEILING(販売表!F55,$B56))</f>
        <v/>
      </c>
      <c r="J56" s="40" t="str">
        <f t="shared" ref="J56:J57" si="207">IF($A56="","",I56/$B56)</f>
        <v/>
      </c>
      <c r="K56" s="39" t="str">
        <f>IF($A56="","",CEILING(販売表!G55,$B56))</f>
        <v/>
      </c>
      <c r="L56" s="40" t="str">
        <f t="shared" ref="L56:L57" si="208">IF($A56="","",K56/$B56)</f>
        <v/>
      </c>
    </row>
    <row r="57" spans="1:12" ht="15" customHeight="1">
      <c r="A57" s="271" t="str">
        <f>IF(販売表!A56=0,"",販売表!A56)</f>
        <v/>
      </c>
      <c r="B57" s="272"/>
      <c r="C57" s="39" t="str">
        <f>IF($A57="","",CEILING(販売表!C56,$B57))</f>
        <v/>
      </c>
      <c r="D57" s="40" t="str">
        <f t="shared" si="0"/>
        <v/>
      </c>
      <c r="E57" s="39" t="str">
        <f>IF($A57="","",CEILING(販売表!D56,$B57))</f>
        <v/>
      </c>
      <c r="F57" s="40" t="str">
        <f t="shared" si="205"/>
        <v/>
      </c>
      <c r="G57" s="39" t="str">
        <f>IF($A57="","",CEILING(販売表!E56,$B57))</f>
        <v/>
      </c>
      <c r="H57" s="40" t="str">
        <f t="shared" si="206"/>
        <v/>
      </c>
      <c r="I57" s="39" t="str">
        <f>IF($A57="","",CEILING(販売表!F56,$B57))</f>
        <v/>
      </c>
      <c r="J57" s="40" t="str">
        <f t="shared" si="207"/>
        <v/>
      </c>
      <c r="K57" s="39" t="str">
        <f>IF($A57="","",CEILING(販売表!G56,$B57))</f>
        <v/>
      </c>
      <c r="L57" s="40" t="str">
        <f t="shared" si="208"/>
        <v/>
      </c>
    </row>
    <row r="58" spans="1:12" ht="15.75" thickBot="1">
      <c r="A58" s="273" t="s">
        <v>9</v>
      </c>
      <c r="B58" s="274"/>
      <c r="C58" s="277">
        <f t="shared" ref="C58:L58" si="209">SUM(C4:C57)</f>
        <v>0</v>
      </c>
      <c r="D58" s="278">
        <f t="shared" si="209"/>
        <v>0</v>
      </c>
      <c r="E58" s="277">
        <f t="shared" si="209"/>
        <v>0</v>
      </c>
      <c r="F58" s="278">
        <f t="shared" si="209"/>
        <v>0</v>
      </c>
      <c r="G58" s="277">
        <f t="shared" si="209"/>
        <v>0</v>
      </c>
      <c r="H58" s="278">
        <f t="shared" si="209"/>
        <v>0</v>
      </c>
      <c r="I58" s="277">
        <f t="shared" si="209"/>
        <v>0</v>
      </c>
      <c r="J58" s="278">
        <f t="shared" si="209"/>
        <v>0</v>
      </c>
      <c r="K58" s="277">
        <f t="shared" si="209"/>
        <v>0</v>
      </c>
      <c r="L58" s="278">
        <f t="shared" si="209"/>
        <v>0</v>
      </c>
    </row>
    <row r="59" spans="1:12" ht="17.25">
      <c r="B59" s="19"/>
      <c r="C59" s="17"/>
      <c r="D59" s="18"/>
      <c r="E59" s="17"/>
      <c r="F59" s="18"/>
      <c r="G59" s="17"/>
      <c r="H59" s="18"/>
    </row>
    <row r="60" spans="1:12" ht="25.5">
      <c r="B60" s="9"/>
      <c r="C60" s="9"/>
      <c r="D60" s="9"/>
      <c r="E60" s="9"/>
      <c r="F60" s="10"/>
    </row>
    <row r="62" spans="1:12" ht="25.5">
      <c r="A62" s="5"/>
      <c r="B62" s="6"/>
      <c r="C62" s="9"/>
      <c r="D62" s="9"/>
      <c r="E62" s="9"/>
    </row>
    <row r="72" ht="23.25" customHeight="1"/>
  </sheetData>
  <mergeCells count="2">
    <mergeCell ref="F1:G1"/>
    <mergeCell ref="B1:E1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zoomScaleNormal="100" zoomScaleSheetLayoutView="90" workbookViewId="0"/>
  </sheetViews>
  <sheetFormatPr defaultRowHeight="13.5"/>
  <cols>
    <col min="1" max="1" width="33.5" customWidth="1"/>
    <col min="3" max="3" width="33.5" customWidth="1"/>
    <col min="4" max="4" width="9.75" bestFit="1" customWidth="1"/>
  </cols>
  <sheetData>
    <row r="1" spans="1:6" ht="28.5">
      <c r="A1" s="112" t="s">
        <v>92</v>
      </c>
      <c r="C1" s="170" t="s">
        <v>47</v>
      </c>
    </row>
    <row r="2" spans="1:6" ht="24">
      <c r="A2" s="168" t="s">
        <v>16</v>
      </c>
      <c r="B2" s="168" t="s">
        <v>44</v>
      </c>
      <c r="C2" s="168" t="s">
        <v>16</v>
      </c>
      <c r="D2" s="168" t="s">
        <v>44</v>
      </c>
    </row>
    <row r="3" spans="1:6" ht="28.15" customHeight="1">
      <c r="A3" s="110" t="str">
        <f>IF(販売表!A4=0,"",販売表!A4)</f>
        <v/>
      </c>
      <c r="B3" s="111"/>
      <c r="C3" s="89" t="str">
        <f>IF(販売表!A31=0,"",販売表!A31)</f>
        <v/>
      </c>
      <c r="D3" s="111"/>
    </row>
    <row r="4" spans="1:6" ht="28.15" customHeight="1">
      <c r="A4" s="110" t="str">
        <f>IF(販売表!A5=0,"",販売表!A5)</f>
        <v/>
      </c>
      <c r="B4" s="111"/>
      <c r="C4" s="89" t="str">
        <f>IF(販売表!A32=0,"",販売表!A32)</f>
        <v/>
      </c>
      <c r="D4" s="111"/>
    </row>
    <row r="5" spans="1:6" ht="28.15" customHeight="1">
      <c r="A5" s="110" t="str">
        <f>IF(販売表!A6=0,"",販売表!A6)</f>
        <v/>
      </c>
      <c r="B5" s="111"/>
      <c r="C5" s="89" t="str">
        <f>IF(販売表!A33=0,"",販売表!A33)</f>
        <v/>
      </c>
      <c r="D5" s="111"/>
    </row>
    <row r="6" spans="1:6" ht="28.15" customHeight="1">
      <c r="A6" s="110" t="str">
        <f>IF(販売表!A7=0,"",販売表!A7)</f>
        <v/>
      </c>
      <c r="B6" s="111"/>
      <c r="C6" s="89" t="str">
        <f>IF(販売表!A34=0,"",販売表!A34)</f>
        <v/>
      </c>
      <c r="D6" s="111"/>
    </row>
    <row r="7" spans="1:6" ht="28.15" customHeight="1">
      <c r="A7" s="110" t="str">
        <f>IF(販売表!A8=0,"",販売表!A8)</f>
        <v/>
      </c>
      <c r="B7" s="111"/>
      <c r="C7" s="89" t="str">
        <f>IF(販売表!A35=0,"",販売表!A35)</f>
        <v/>
      </c>
      <c r="D7" s="111"/>
    </row>
    <row r="8" spans="1:6" ht="28.15" customHeight="1">
      <c r="A8" s="110" t="str">
        <f>IF(販売表!A9=0,"",販売表!A9)</f>
        <v/>
      </c>
      <c r="B8" s="111"/>
      <c r="C8" s="89" t="str">
        <f>IF(販売表!A36=0,"",販売表!A36)</f>
        <v/>
      </c>
      <c r="D8" s="111"/>
    </row>
    <row r="9" spans="1:6" ht="28.15" customHeight="1">
      <c r="A9" s="110" t="str">
        <f>IF(販売表!A10=0,"",販売表!A10)</f>
        <v/>
      </c>
      <c r="B9" s="111"/>
      <c r="C9" s="89" t="str">
        <f>IF(販売表!A37=0,"",販売表!A37)</f>
        <v/>
      </c>
      <c r="D9" s="111"/>
    </row>
    <row r="10" spans="1:6" ht="28.15" customHeight="1">
      <c r="A10" s="177" t="str">
        <f>IF(販売表!A11=0,"",販売表!A11)</f>
        <v/>
      </c>
      <c r="B10" s="111"/>
      <c r="C10" s="89" t="str">
        <f>IF(販売表!A38=0,"",販売表!A38)</f>
        <v/>
      </c>
      <c r="D10" s="111"/>
      <c r="F10" s="115"/>
    </row>
    <row r="11" spans="1:6" ht="28.15" customHeight="1">
      <c r="A11" s="177" t="str">
        <f>IF(販売表!A12=0,"",販売表!A12)</f>
        <v/>
      </c>
      <c r="B11" s="111"/>
      <c r="C11" s="89" t="str">
        <f>IF(販売表!A39=0,"",販売表!A39)</f>
        <v/>
      </c>
      <c r="D11" s="111"/>
    </row>
    <row r="12" spans="1:6" ht="28.15" customHeight="1">
      <c r="A12" s="177" t="str">
        <f>IF(販売表!A13=0,"",販売表!A13)</f>
        <v/>
      </c>
      <c r="B12" s="111"/>
      <c r="C12" s="89" t="str">
        <f>IF(販売表!A40=0,"",販売表!A40)</f>
        <v/>
      </c>
      <c r="D12" s="111"/>
    </row>
    <row r="13" spans="1:6" ht="28.15" customHeight="1">
      <c r="A13" s="177" t="str">
        <f>IF(販売表!A14=0,"",販売表!A14)</f>
        <v/>
      </c>
      <c r="B13" s="111"/>
      <c r="C13" s="89" t="str">
        <f>IF(販売表!A41=0,"",販売表!A41)</f>
        <v/>
      </c>
      <c r="D13" s="111"/>
    </row>
    <row r="14" spans="1:6" ht="28.15" customHeight="1">
      <c r="A14" s="177" t="str">
        <f>IF(販売表!A15=0,"",販売表!A15)</f>
        <v/>
      </c>
      <c r="B14" s="111"/>
      <c r="C14" s="89" t="str">
        <f>IF(販売表!A42=0,"",販売表!A42)</f>
        <v/>
      </c>
      <c r="D14" s="111"/>
    </row>
    <row r="15" spans="1:6" ht="28.15" customHeight="1">
      <c r="A15" s="110" t="str">
        <f>IF(販売表!A16=0,"",販売表!A16)</f>
        <v/>
      </c>
      <c r="B15" s="111"/>
      <c r="C15" s="89" t="str">
        <f>IF(販売表!A43=0,"",販売表!A43)</f>
        <v/>
      </c>
      <c r="D15" s="111"/>
    </row>
    <row r="16" spans="1:6" ht="28.15" customHeight="1">
      <c r="A16" s="169" t="str">
        <f>IF(販売表!A17=0,"",販売表!A17)</f>
        <v/>
      </c>
      <c r="B16" s="111"/>
      <c r="C16" s="89" t="str">
        <f>IF(販売表!A44=0,"",販売表!A44)</f>
        <v/>
      </c>
      <c r="D16" s="111"/>
    </row>
    <row r="17" spans="1:4" ht="28.15" customHeight="1">
      <c r="A17" s="88" t="str">
        <f>IF(販売表!A18=0,"",販売表!A18)</f>
        <v/>
      </c>
      <c r="B17" s="111"/>
      <c r="C17" s="89" t="str">
        <f>IF(販売表!A45=0,"",販売表!A45)</f>
        <v/>
      </c>
      <c r="D17" s="111"/>
    </row>
    <row r="18" spans="1:4" ht="28.15" customHeight="1">
      <c r="A18" s="109" t="str">
        <f>IF(販売表!A19=0,"",販売表!A19)</f>
        <v/>
      </c>
      <c r="B18" s="111"/>
      <c r="C18" s="89" t="str">
        <f>IF(販売表!A46=0,"",販売表!A46)</f>
        <v/>
      </c>
      <c r="D18" s="111"/>
    </row>
    <row r="19" spans="1:4" ht="28.15" customHeight="1">
      <c r="A19" s="110" t="str">
        <f>IF(販売表!A20=0,"",販売表!A20)</f>
        <v/>
      </c>
      <c r="B19" s="111"/>
      <c r="C19" s="89" t="str">
        <f>IF(販売表!A47=0,"",販売表!A47)</f>
        <v/>
      </c>
      <c r="D19" s="111"/>
    </row>
    <row r="20" spans="1:4" ht="28.15" customHeight="1">
      <c r="A20" s="88" t="str">
        <f>IF(販売表!A21=0,"",販売表!A21)</f>
        <v/>
      </c>
      <c r="B20" s="111"/>
      <c r="C20" s="89" t="str">
        <f>IF(販売表!A48=0,"",販売表!A48)</f>
        <v/>
      </c>
      <c r="D20" s="111"/>
    </row>
    <row r="21" spans="1:4" ht="28.15" customHeight="1">
      <c r="A21" s="110" t="str">
        <f>IF(販売表!A22=0,"",販売表!A22)</f>
        <v/>
      </c>
      <c r="B21" s="111"/>
      <c r="C21" s="89" t="str">
        <f>IF(販売表!A49=0,"",販売表!A49)</f>
        <v/>
      </c>
      <c r="D21" s="111"/>
    </row>
    <row r="22" spans="1:4" ht="28.15" customHeight="1">
      <c r="A22" s="110" t="str">
        <f>IF(販売表!A23=0,"",販売表!A23)</f>
        <v/>
      </c>
      <c r="B22" s="111"/>
      <c r="C22" s="89" t="str">
        <f>IF(販売表!A50=0,"",販売表!A50)</f>
        <v/>
      </c>
      <c r="D22" s="111"/>
    </row>
    <row r="23" spans="1:4" ht="28.15" customHeight="1">
      <c r="A23" s="110" t="str">
        <f>IF(販売表!A24=0,"",販売表!A24)</f>
        <v/>
      </c>
      <c r="B23" s="111"/>
      <c r="C23" s="89" t="str">
        <f>IF(販売表!A51=0,"",販売表!A51)</f>
        <v/>
      </c>
      <c r="D23" s="111"/>
    </row>
    <row r="24" spans="1:4" ht="28.15" customHeight="1">
      <c r="A24" s="110" t="str">
        <f>IF(販売表!A25=0,"",販売表!A25)</f>
        <v/>
      </c>
      <c r="B24" s="111"/>
      <c r="C24" s="89" t="str">
        <f>IF(販売表!A52=0,"",販売表!A52)</f>
        <v/>
      </c>
      <c r="D24" s="111"/>
    </row>
    <row r="25" spans="1:4" ht="28.15" customHeight="1">
      <c r="A25" s="89" t="str">
        <f>IF(販売表!A26=0,"",販売表!A26)</f>
        <v/>
      </c>
      <c r="B25" s="111"/>
      <c r="C25" s="89" t="str">
        <f>IF(販売表!A53=0,"",販売表!A53)</f>
        <v/>
      </c>
      <c r="D25" s="111"/>
    </row>
    <row r="26" spans="1:4" ht="28.15" customHeight="1">
      <c r="A26" s="89" t="str">
        <f>IF(販売表!A27=0,"",販売表!A27)</f>
        <v/>
      </c>
      <c r="B26" s="111"/>
      <c r="C26" s="89" t="str">
        <f>IF(販売表!A54=0,"",販売表!A54)</f>
        <v/>
      </c>
      <c r="D26" s="111"/>
    </row>
    <row r="27" spans="1:4" ht="28.15" customHeight="1">
      <c r="A27" s="89" t="str">
        <f>IF(販売表!A28=0,"",販売表!A28)</f>
        <v/>
      </c>
      <c r="B27" s="111"/>
      <c r="C27" s="89" t="str">
        <f>IF(販売表!A55=0,"",販売表!A55)</f>
        <v/>
      </c>
      <c r="D27" s="111"/>
    </row>
    <row r="28" spans="1:4" ht="28.15" customHeight="1">
      <c r="A28" s="244" t="str">
        <f>IF(販売表!A29=0,"",販売表!A29)</f>
        <v/>
      </c>
      <c r="B28" s="111"/>
      <c r="C28" s="89" t="str">
        <f>IF(販売表!A56=0,"",販売表!A56)</f>
        <v/>
      </c>
      <c r="D28" s="111"/>
    </row>
    <row r="29" spans="1:4" ht="28.15" customHeight="1">
      <c r="A29" s="89" t="str">
        <f>IF(販売表!A30=0,"",販売表!A30)</f>
        <v/>
      </c>
      <c r="B29" s="111"/>
      <c r="C29" s="89" t="str">
        <f>IF(販売表!A57=0,"",販売表!A57)</f>
        <v/>
      </c>
      <c r="D29" s="111"/>
    </row>
    <row r="30" spans="1:4" ht="28.15" customHeight="1">
      <c r="C30" s="29"/>
      <c r="D30" s="29"/>
    </row>
    <row r="31" spans="1:4" ht="28.15" customHeight="1">
      <c r="C31" s="29"/>
      <c r="D31" s="29"/>
    </row>
  </sheetData>
  <phoneticPr fontId="2"/>
  <pageMargins left="0.7" right="0.7" top="0.75" bottom="0.75" header="0.3" footer="0.3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2"/>
  <sheetViews>
    <sheetView zoomScaleNormal="100" zoomScaleSheetLayoutView="130" workbookViewId="0"/>
  </sheetViews>
  <sheetFormatPr defaultRowHeight="13.5"/>
  <cols>
    <col min="1" max="1" width="23.25" customWidth="1"/>
    <col min="2" max="3" width="9.125" bestFit="1" customWidth="1"/>
    <col min="4" max="4" width="9.25" bestFit="1" customWidth="1"/>
    <col min="5" max="5" width="9.125" bestFit="1" customWidth="1"/>
    <col min="6" max="6" width="9.25" bestFit="1" customWidth="1"/>
    <col min="7" max="7" width="9.125" bestFit="1" customWidth="1"/>
    <col min="8" max="8" width="9.25" bestFit="1" customWidth="1"/>
    <col min="9" max="9" width="9.125" bestFit="1" customWidth="1"/>
    <col min="10" max="10" width="9.25" bestFit="1" customWidth="1"/>
    <col min="11" max="11" width="9.125" bestFit="1" customWidth="1"/>
    <col min="12" max="12" width="9.25" bestFit="1" customWidth="1"/>
    <col min="13" max="13" width="9.125" bestFit="1" customWidth="1"/>
    <col min="14" max="14" width="9.25" bestFit="1" customWidth="1"/>
    <col min="15" max="15" width="9.125" bestFit="1" customWidth="1"/>
    <col min="16" max="16" width="9.25" bestFit="1" customWidth="1"/>
    <col min="17" max="17" width="27" bestFit="1" customWidth="1"/>
    <col min="18" max="18" width="9.125" bestFit="1" customWidth="1"/>
  </cols>
  <sheetData>
    <row r="1" spans="1:17" ht="31.5" customHeight="1">
      <c r="A1" s="63">
        <f>販売表!A1</f>
        <v>0</v>
      </c>
      <c r="C1" s="55"/>
      <c r="D1" s="55"/>
      <c r="E1" s="55" t="s">
        <v>10</v>
      </c>
      <c r="F1" s="55"/>
      <c r="G1" s="55"/>
    </row>
    <row r="2" spans="1:17" ht="6.75" customHeight="1">
      <c r="A2" s="63"/>
      <c r="C2" s="55"/>
      <c r="D2" s="55"/>
      <c r="E2" s="55"/>
      <c r="F2" s="55"/>
      <c r="G2" s="55"/>
    </row>
    <row r="3" spans="1:17" ht="15">
      <c r="A3" s="57"/>
      <c r="B3" s="58" t="s">
        <v>11</v>
      </c>
      <c r="C3" s="189" t="s">
        <v>76</v>
      </c>
      <c r="D3" s="189" t="s">
        <v>93</v>
      </c>
      <c r="E3" s="190" t="s">
        <v>94</v>
      </c>
      <c r="F3" s="190" t="s">
        <v>97</v>
      </c>
      <c r="G3" s="58" t="s">
        <v>95</v>
      </c>
      <c r="H3" s="58" t="s">
        <v>98</v>
      </c>
      <c r="I3" s="191" t="s">
        <v>79</v>
      </c>
      <c r="J3" s="191" t="s">
        <v>99</v>
      </c>
      <c r="K3" s="192" t="s">
        <v>96</v>
      </c>
      <c r="L3" s="192" t="s">
        <v>100</v>
      </c>
      <c r="M3" s="195" t="s">
        <v>12</v>
      </c>
      <c r="N3" s="195" t="s">
        <v>13</v>
      </c>
      <c r="O3" s="249" t="s">
        <v>17</v>
      </c>
      <c r="P3" s="249" t="s">
        <v>18</v>
      </c>
      <c r="Q3" s="7"/>
    </row>
    <row r="4" spans="1:17" ht="15">
      <c r="A4" s="64" t="str">
        <f>IF(販売表!A4=0,"",販売表!A4)</f>
        <v/>
      </c>
      <c r="B4" s="14"/>
      <c r="C4" s="193" t="str">
        <f>IF($A4="","",販売表!C4)</f>
        <v/>
      </c>
      <c r="D4" s="59" t="str">
        <f t="shared" ref="D4:D56" si="0">IF($A4="","",$B4*C4)</f>
        <v/>
      </c>
      <c r="E4" s="193" t="str">
        <f>IF($A4="","",販売表!D4)</f>
        <v/>
      </c>
      <c r="F4" s="59" t="str">
        <f t="shared" ref="F4:F56" si="1">IF($A4="","",$B4*E4)</f>
        <v/>
      </c>
      <c r="G4" s="193" t="str">
        <f>IF($A4="","",販売表!E4)</f>
        <v/>
      </c>
      <c r="H4" s="59" t="str">
        <f t="shared" ref="H4:H56" si="2">IF($A4="","",$B4*G4)</f>
        <v/>
      </c>
      <c r="I4" s="171" t="str">
        <f>IF($A4="","",販売表!F4)</f>
        <v/>
      </c>
      <c r="J4" s="59" t="str">
        <f t="shared" ref="J4:J56" si="3">IF($A4="","",$B4*I4)</f>
        <v/>
      </c>
      <c r="K4" s="171" t="str">
        <f>IF($A4="","",販売表!G4)</f>
        <v/>
      </c>
      <c r="L4" s="59" t="str">
        <f t="shared" ref="L4:L56" si="4">IF($A4="","",$B4*K4)</f>
        <v/>
      </c>
      <c r="M4" s="187" t="str">
        <f t="shared" ref="M4:M56" si="5">IF(A4="","",C4+E4+G4+I4+K4)</f>
        <v/>
      </c>
      <c r="N4" s="59" t="str">
        <f t="shared" ref="N4:N56" si="6">IF(A4="","",B4*M4)</f>
        <v/>
      </c>
      <c r="O4" s="34"/>
      <c r="P4" s="7" t="str">
        <f t="shared" ref="P4:P56" si="7">IF(A4="","",M4*O4)</f>
        <v/>
      </c>
      <c r="Q4" s="64" t="str">
        <f>A4</f>
        <v/>
      </c>
    </row>
    <row r="5" spans="1:17" ht="15">
      <c r="A5" s="64" t="str">
        <f>IF(販売表!A5=0,"",販売表!A5)</f>
        <v/>
      </c>
      <c r="B5" s="14"/>
      <c r="C5" s="193" t="str">
        <f>IF($A5="","",販売表!C5)</f>
        <v/>
      </c>
      <c r="D5" s="59" t="str">
        <f t="shared" si="0"/>
        <v/>
      </c>
      <c r="E5" s="193" t="str">
        <f>IF($A5="","",販売表!D5)</f>
        <v/>
      </c>
      <c r="F5" s="59" t="str">
        <f t="shared" si="1"/>
        <v/>
      </c>
      <c r="G5" s="193" t="str">
        <f>IF($A5="","",販売表!E5)</f>
        <v/>
      </c>
      <c r="H5" s="59" t="str">
        <f t="shared" si="2"/>
        <v/>
      </c>
      <c r="I5" s="171" t="str">
        <f>IF($A5="","",販売表!F5)</f>
        <v/>
      </c>
      <c r="J5" s="59" t="str">
        <f t="shared" si="3"/>
        <v/>
      </c>
      <c r="K5" s="171" t="str">
        <f>IF($A5="","",販売表!G5)</f>
        <v/>
      </c>
      <c r="L5" s="59" t="str">
        <f t="shared" si="4"/>
        <v/>
      </c>
      <c r="M5" s="187" t="str">
        <f t="shared" si="5"/>
        <v/>
      </c>
      <c r="N5" s="59" t="str">
        <f t="shared" si="6"/>
        <v/>
      </c>
      <c r="O5" s="34"/>
      <c r="P5" s="7" t="str">
        <f t="shared" si="7"/>
        <v/>
      </c>
      <c r="Q5" s="7" t="str">
        <f t="shared" ref="Q5:Q57" si="8">A5</f>
        <v/>
      </c>
    </row>
    <row r="6" spans="1:17" ht="15">
      <c r="A6" s="64" t="str">
        <f>IF(販売表!A6=0,"",販売表!A6)</f>
        <v/>
      </c>
      <c r="B6" s="14"/>
      <c r="C6" s="193" t="str">
        <f>IF($A6="","",販売表!C6)</f>
        <v/>
      </c>
      <c r="D6" s="59" t="str">
        <f t="shared" si="0"/>
        <v/>
      </c>
      <c r="E6" s="193" t="str">
        <f>IF($A6="","",販売表!D6)</f>
        <v/>
      </c>
      <c r="F6" s="59" t="str">
        <f t="shared" si="1"/>
        <v/>
      </c>
      <c r="G6" s="193" t="str">
        <f>IF($A6="","",販売表!E6)</f>
        <v/>
      </c>
      <c r="H6" s="59" t="str">
        <f t="shared" si="2"/>
        <v/>
      </c>
      <c r="I6" s="171" t="str">
        <f>IF($A6="","",販売表!F6)</f>
        <v/>
      </c>
      <c r="J6" s="59" t="str">
        <f t="shared" si="3"/>
        <v/>
      </c>
      <c r="K6" s="171" t="str">
        <f>IF($A6="","",販売表!G6)</f>
        <v/>
      </c>
      <c r="L6" s="59" t="str">
        <f t="shared" si="4"/>
        <v/>
      </c>
      <c r="M6" s="187" t="str">
        <f t="shared" si="5"/>
        <v/>
      </c>
      <c r="N6" s="59" t="str">
        <f t="shared" si="6"/>
        <v/>
      </c>
      <c r="O6" s="34"/>
      <c r="P6" s="7" t="str">
        <f t="shared" si="7"/>
        <v/>
      </c>
      <c r="Q6" s="7" t="str">
        <f t="shared" si="8"/>
        <v/>
      </c>
    </row>
    <row r="7" spans="1:17" ht="15">
      <c r="A7" s="64" t="str">
        <f>IF(販売表!A7=0,"",販売表!A7)</f>
        <v/>
      </c>
      <c r="B7" s="14"/>
      <c r="C7" s="193" t="str">
        <f>IF($A7="","",販売表!C7)</f>
        <v/>
      </c>
      <c r="D7" s="59" t="str">
        <f t="shared" si="0"/>
        <v/>
      </c>
      <c r="E7" s="193" t="str">
        <f>IF($A7="","",販売表!D7)</f>
        <v/>
      </c>
      <c r="F7" s="59" t="str">
        <f t="shared" si="1"/>
        <v/>
      </c>
      <c r="G7" s="193" t="str">
        <f>IF($A7="","",販売表!E7)</f>
        <v/>
      </c>
      <c r="H7" s="59" t="str">
        <f t="shared" si="2"/>
        <v/>
      </c>
      <c r="I7" s="171" t="str">
        <f>IF($A7="","",販売表!F7)</f>
        <v/>
      </c>
      <c r="J7" s="59" t="str">
        <f t="shared" si="3"/>
        <v/>
      </c>
      <c r="K7" s="171" t="str">
        <f>IF($A7="","",販売表!G7)</f>
        <v/>
      </c>
      <c r="L7" s="59" t="str">
        <f t="shared" si="4"/>
        <v/>
      </c>
      <c r="M7" s="187" t="str">
        <f t="shared" si="5"/>
        <v/>
      </c>
      <c r="N7" s="59" t="str">
        <f t="shared" si="6"/>
        <v/>
      </c>
      <c r="O7" s="34"/>
      <c r="P7" s="7" t="str">
        <f t="shared" si="7"/>
        <v/>
      </c>
      <c r="Q7" s="7" t="str">
        <f t="shared" si="8"/>
        <v/>
      </c>
    </row>
    <row r="8" spans="1:17" ht="15">
      <c r="A8" s="64" t="str">
        <f>IF(販売表!A8=0,"",販売表!A8)</f>
        <v/>
      </c>
      <c r="B8" s="14"/>
      <c r="C8" s="193" t="str">
        <f>IF($A8="","",販売表!C8)</f>
        <v/>
      </c>
      <c r="D8" s="59" t="str">
        <f t="shared" si="0"/>
        <v/>
      </c>
      <c r="E8" s="193" t="str">
        <f>IF($A8="","",販売表!D8)</f>
        <v/>
      </c>
      <c r="F8" s="59" t="str">
        <f t="shared" si="1"/>
        <v/>
      </c>
      <c r="G8" s="193" t="str">
        <f>IF($A8="","",販売表!E8)</f>
        <v/>
      </c>
      <c r="H8" s="59" t="str">
        <f t="shared" si="2"/>
        <v/>
      </c>
      <c r="I8" s="171" t="str">
        <f>IF($A8="","",販売表!F8)</f>
        <v/>
      </c>
      <c r="J8" s="59" t="str">
        <f t="shared" si="3"/>
        <v/>
      </c>
      <c r="K8" s="171" t="str">
        <f>IF($A8="","",販売表!G8)</f>
        <v/>
      </c>
      <c r="L8" s="59" t="str">
        <f t="shared" si="4"/>
        <v/>
      </c>
      <c r="M8" s="187" t="str">
        <f t="shared" si="5"/>
        <v/>
      </c>
      <c r="N8" s="59" t="str">
        <f t="shared" si="6"/>
        <v/>
      </c>
      <c r="O8" s="34"/>
      <c r="P8" s="7" t="str">
        <f t="shared" si="7"/>
        <v/>
      </c>
      <c r="Q8" s="7" t="str">
        <f t="shared" si="8"/>
        <v/>
      </c>
    </row>
    <row r="9" spans="1:17" ht="15">
      <c r="A9" s="64" t="str">
        <f>IF(販売表!A9=0,"",販売表!A9)</f>
        <v/>
      </c>
      <c r="B9" s="14"/>
      <c r="C9" s="193" t="str">
        <f>IF($A9="","",販売表!C9)</f>
        <v/>
      </c>
      <c r="D9" s="59" t="str">
        <f t="shared" si="0"/>
        <v/>
      </c>
      <c r="E9" s="193" t="str">
        <f>IF($A9="","",販売表!D9)</f>
        <v/>
      </c>
      <c r="F9" s="59" t="str">
        <f t="shared" si="1"/>
        <v/>
      </c>
      <c r="G9" s="193" t="str">
        <f>IF($A9="","",販売表!E9)</f>
        <v/>
      </c>
      <c r="H9" s="59" t="str">
        <f t="shared" si="2"/>
        <v/>
      </c>
      <c r="I9" s="171" t="str">
        <f>IF($A9="","",販売表!F9)</f>
        <v/>
      </c>
      <c r="J9" s="59" t="str">
        <f t="shared" si="3"/>
        <v/>
      </c>
      <c r="K9" s="171" t="str">
        <f>IF($A9="","",販売表!G9)</f>
        <v/>
      </c>
      <c r="L9" s="59" t="str">
        <f t="shared" si="4"/>
        <v/>
      </c>
      <c r="M9" s="187" t="str">
        <f t="shared" si="5"/>
        <v/>
      </c>
      <c r="N9" s="59" t="str">
        <f t="shared" si="6"/>
        <v/>
      </c>
      <c r="O9" s="34"/>
      <c r="P9" s="7" t="str">
        <f t="shared" si="7"/>
        <v/>
      </c>
      <c r="Q9" s="7" t="str">
        <f t="shared" si="8"/>
        <v/>
      </c>
    </row>
    <row r="10" spans="1:17" ht="15">
      <c r="A10" s="64" t="str">
        <f>IF(販売表!A10=0,"",販売表!A10)</f>
        <v/>
      </c>
      <c r="B10" s="14"/>
      <c r="C10" s="193" t="str">
        <f>IF($A10="","",販売表!C10)</f>
        <v/>
      </c>
      <c r="D10" s="59" t="str">
        <f t="shared" si="0"/>
        <v/>
      </c>
      <c r="E10" s="193" t="str">
        <f>IF($A10="","",販売表!D10)</f>
        <v/>
      </c>
      <c r="F10" s="59" t="str">
        <f t="shared" si="1"/>
        <v/>
      </c>
      <c r="G10" s="193" t="str">
        <f>IF($A10="","",販売表!E10)</f>
        <v/>
      </c>
      <c r="H10" s="59" t="str">
        <f t="shared" si="2"/>
        <v/>
      </c>
      <c r="I10" s="171" t="str">
        <f>IF($A10="","",販売表!F10)</f>
        <v/>
      </c>
      <c r="J10" s="59" t="str">
        <f t="shared" si="3"/>
        <v/>
      </c>
      <c r="K10" s="171" t="str">
        <f>IF($A10="","",販売表!G10)</f>
        <v/>
      </c>
      <c r="L10" s="59" t="str">
        <f t="shared" si="4"/>
        <v/>
      </c>
      <c r="M10" s="187" t="str">
        <f t="shared" si="5"/>
        <v/>
      </c>
      <c r="N10" s="59" t="str">
        <f t="shared" si="6"/>
        <v/>
      </c>
      <c r="O10" s="34"/>
      <c r="P10" s="7" t="str">
        <f t="shared" si="7"/>
        <v/>
      </c>
      <c r="Q10" s="7" t="str">
        <f t="shared" si="8"/>
        <v/>
      </c>
    </row>
    <row r="11" spans="1:17" ht="15">
      <c r="A11" s="64" t="str">
        <f>IF(販売表!A11=0,"",販売表!A11)</f>
        <v/>
      </c>
      <c r="B11" s="160"/>
      <c r="C11" s="194" t="str">
        <f>IF($A11="","",販売表!C11)</f>
        <v/>
      </c>
      <c r="D11" s="186" t="str">
        <f t="shared" si="0"/>
        <v/>
      </c>
      <c r="E11" s="194" t="str">
        <f>IF($A11="","",販売表!D11)</f>
        <v/>
      </c>
      <c r="F11" s="186" t="str">
        <f t="shared" si="1"/>
        <v/>
      </c>
      <c r="G11" s="194" t="str">
        <f>IF($A11="","",販売表!E11)</f>
        <v/>
      </c>
      <c r="H11" s="186" t="str">
        <f t="shared" si="2"/>
        <v/>
      </c>
      <c r="I11" s="185" t="str">
        <f>IF($A11="","",販売表!F11)</f>
        <v/>
      </c>
      <c r="J11" s="186" t="str">
        <f t="shared" si="3"/>
        <v/>
      </c>
      <c r="K11" s="185" t="str">
        <f>IF($A11="","",販売表!G11)</f>
        <v/>
      </c>
      <c r="L11" s="186" t="str">
        <f t="shared" si="4"/>
        <v/>
      </c>
      <c r="M11" s="188" t="str">
        <f t="shared" si="5"/>
        <v/>
      </c>
      <c r="N11" s="186" t="str">
        <f t="shared" si="6"/>
        <v/>
      </c>
      <c r="O11" s="250"/>
      <c r="P11" s="250" t="str">
        <f t="shared" si="7"/>
        <v/>
      </c>
      <c r="Q11" s="250" t="str">
        <f t="shared" si="8"/>
        <v/>
      </c>
    </row>
    <row r="12" spans="1:17" ht="15">
      <c r="A12" s="64" t="str">
        <f>IF(販売表!A12=0,"",販売表!A12)</f>
        <v/>
      </c>
      <c r="B12" s="160"/>
      <c r="C12" s="194" t="str">
        <f>IF($A12="","",販売表!C12)</f>
        <v/>
      </c>
      <c r="D12" s="186" t="str">
        <f t="shared" si="0"/>
        <v/>
      </c>
      <c r="E12" s="194" t="str">
        <f>IF($A12="","",販売表!D12)</f>
        <v/>
      </c>
      <c r="F12" s="186" t="str">
        <f t="shared" si="1"/>
        <v/>
      </c>
      <c r="G12" s="194" t="str">
        <f>IF($A12="","",販売表!E12)</f>
        <v/>
      </c>
      <c r="H12" s="186" t="str">
        <f t="shared" si="2"/>
        <v/>
      </c>
      <c r="I12" s="185" t="str">
        <f>IF($A12="","",販売表!F12)</f>
        <v/>
      </c>
      <c r="J12" s="186" t="str">
        <f t="shared" si="3"/>
        <v/>
      </c>
      <c r="K12" s="185" t="str">
        <f>IF($A12="","",販売表!G12)</f>
        <v/>
      </c>
      <c r="L12" s="186" t="str">
        <f t="shared" si="4"/>
        <v/>
      </c>
      <c r="M12" s="188" t="str">
        <f t="shared" si="5"/>
        <v/>
      </c>
      <c r="N12" s="186" t="str">
        <f t="shared" si="6"/>
        <v/>
      </c>
      <c r="O12" s="250"/>
      <c r="P12" s="250" t="str">
        <f t="shared" si="7"/>
        <v/>
      </c>
      <c r="Q12" s="250" t="str">
        <f t="shared" si="8"/>
        <v/>
      </c>
    </row>
    <row r="13" spans="1:17" ht="15">
      <c r="A13" s="64" t="str">
        <f>IF(販売表!A13=0,"",販売表!A13)</f>
        <v/>
      </c>
      <c r="B13" s="160"/>
      <c r="C13" s="194" t="str">
        <f>IF($A13="","",販売表!C13)</f>
        <v/>
      </c>
      <c r="D13" s="186" t="str">
        <f t="shared" si="0"/>
        <v/>
      </c>
      <c r="E13" s="194" t="str">
        <f>IF($A13="","",販売表!D13)</f>
        <v/>
      </c>
      <c r="F13" s="186" t="str">
        <f t="shared" si="1"/>
        <v/>
      </c>
      <c r="G13" s="194" t="str">
        <f>IF($A13="","",販売表!E13)</f>
        <v/>
      </c>
      <c r="H13" s="186" t="str">
        <f t="shared" si="2"/>
        <v/>
      </c>
      <c r="I13" s="185" t="str">
        <f>IF($A13="","",販売表!F13)</f>
        <v/>
      </c>
      <c r="J13" s="186" t="str">
        <f t="shared" si="3"/>
        <v/>
      </c>
      <c r="K13" s="185" t="str">
        <f>IF($A13="","",販売表!G13)</f>
        <v/>
      </c>
      <c r="L13" s="186" t="str">
        <f t="shared" si="4"/>
        <v/>
      </c>
      <c r="M13" s="188" t="str">
        <f t="shared" si="5"/>
        <v/>
      </c>
      <c r="N13" s="186" t="str">
        <f t="shared" si="6"/>
        <v/>
      </c>
      <c r="O13" s="250"/>
      <c r="P13" s="250" t="str">
        <f t="shared" si="7"/>
        <v/>
      </c>
      <c r="Q13" s="250" t="str">
        <f t="shared" si="8"/>
        <v/>
      </c>
    </row>
    <row r="14" spans="1:17" ht="15">
      <c r="A14" s="64" t="str">
        <f>IF(販売表!A14=0,"",販売表!A14)</f>
        <v/>
      </c>
      <c r="B14" s="14"/>
      <c r="C14" s="193" t="str">
        <f>IF($A14="","",販売表!C14)</f>
        <v/>
      </c>
      <c r="D14" s="59" t="str">
        <f t="shared" si="0"/>
        <v/>
      </c>
      <c r="E14" s="193" t="str">
        <f>IF($A14="","",販売表!D14)</f>
        <v/>
      </c>
      <c r="F14" s="59" t="str">
        <f t="shared" si="1"/>
        <v/>
      </c>
      <c r="G14" s="193" t="str">
        <f>IF($A14="","",販売表!E14)</f>
        <v/>
      </c>
      <c r="H14" s="59" t="str">
        <f t="shared" si="2"/>
        <v/>
      </c>
      <c r="I14" s="171" t="str">
        <f>IF($A14="","",販売表!F14)</f>
        <v/>
      </c>
      <c r="J14" s="59" t="str">
        <f t="shared" si="3"/>
        <v/>
      </c>
      <c r="K14" s="171" t="str">
        <f>IF($A14="","",販売表!G14)</f>
        <v/>
      </c>
      <c r="L14" s="59" t="str">
        <f t="shared" si="4"/>
        <v/>
      </c>
      <c r="M14" s="187" t="str">
        <f t="shared" si="5"/>
        <v/>
      </c>
      <c r="N14" s="59" t="str">
        <f t="shared" si="6"/>
        <v/>
      </c>
      <c r="O14" s="7"/>
      <c r="P14" s="7" t="str">
        <f t="shared" si="7"/>
        <v/>
      </c>
      <c r="Q14" s="7" t="str">
        <f t="shared" si="8"/>
        <v/>
      </c>
    </row>
    <row r="15" spans="1:17" ht="15">
      <c r="A15" s="64" t="str">
        <f>IF(販売表!A15=0,"",販売表!A15)</f>
        <v/>
      </c>
      <c r="B15" s="14"/>
      <c r="C15" s="193" t="str">
        <f>IF($A15="","",販売表!C15)</f>
        <v/>
      </c>
      <c r="D15" s="59" t="str">
        <f t="shared" si="0"/>
        <v/>
      </c>
      <c r="E15" s="193" t="str">
        <f>IF($A15="","",販売表!D15)</f>
        <v/>
      </c>
      <c r="F15" s="59" t="str">
        <f t="shared" si="1"/>
        <v/>
      </c>
      <c r="G15" s="193" t="str">
        <f>IF($A15="","",販売表!E15)</f>
        <v/>
      </c>
      <c r="H15" s="59" t="str">
        <f t="shared" si="2"/>
        <v/>
      </c>
      <c r="I15" s="171" t="str">
        <f>IF($A15="","",販売表!F15)</f>
        <v/>
      </c>
      <c r="J15" s="59" t="str">
        <f t="shared" si="3"/>
        <v/>
      </c>
      <c r="K15" s="171" t="str">
        <f>IF($A15="","",販売表!G15)</f>
        <v/>
      </c>
      <c r="L15" s="59" t="str">
        <f t="shared" si="4"/>
        <v/>
      </c>
      <c r="M15" s="187" t="str">
        <f t="shared" si="5"/>
        <v/>
      </c>
      <c r="N15" s="59" t="str">
        <f t="shared" si="6"/>
        <v/>
      </c>
      <c r="O15" s="7"/>
      <c r="P15" s="7" t="str">
        <f t="shared" si="7"/>
        <v/>
      </c>
      <c r="Q15" s="7" t="str">
        <f t="shared" si="8"/>
        <v/>
      </c>
    </row>
    <row r="16" spans="1:17" ht="15">
      <c r="A16" s="64" t="str">
        <f>IF(販売表!A16=0,"",販売表!A16)</f>
        <v/>
      </c>
      <c r="B16" s="49"/>
      <c r="C16" s="193" t="str">
        <f>IF($A16="","",販売表!C16)</f>
        <v/>
      </c>
      <c r="D16" s="59" t="str">
        <f t="shared" si="0"/>
        <v/>
      </c>
      <c r="E16" s="193" t="str">
        <f>IF($A16="","",販売表!D16)</f>
        <v/>
      </c>
      <c r="F16" s="59" t="str">
        <f t="shared" si="1"/>
        <v/>
      </c>
      <c r="G16" s="193" t="str">
        <f>IF($A16="","",販売表!E16)</f>
        <v/>
      </c>
      <c r="H16" s="59" t="str">
        <f t="shared" si="2"/>
        <v/>
      </c>
      <c r="I16" s="171" t="str">
        <f>IF($A16="","",販売表!F16)</f>
        <v/>
      </c>
      <c r="J16" s="59" t="str">
        <f t="shared" si="3"/>
        <v/>
      </c>
      <c r="K16" s="171" t="str">
        <f>IF($A16="","",販売表!G16)</f>
        <v/>
      </c>
      <c r="L16" s="59" t="str">
        <f t="shared" si="4"/>
        <v/>
      </c>
      <c r="M16" s="187" t="str">
        <f t="shared" si="5"/>
        <v/>
      </c>
      <c r="N16" s="59" t="str">
        <f t="shared" si="6"/>
        <v/>
      </c>
      <c r="O16" s="34"/>
      <c r="P16" s="251" t="str">
        <f t="shared" si="7"/>
        <v/>
      </c>
      <c r="Q16" s="34" t="str">
        <f t="shared" si="8"/>
        <v/>
      </c>
    </row>
    <row r="17" spans="1:17" ht="15">
      <c r="A17" s="64" t="str">
        <f>IF(販売表!A17=0,"",販売表!A17)</f>
        <v/>
      </c>
      <c r="B17" s="14"/>
      <c r="C17" s="193" t="str">
        <f>IF($A17="","",販売表!C17)</f>
        <v/>
      </c>
      <c r="D17" s="59" t="str">
        <f t="shared" si="0"/>
        <v/>
      </c>
      <c r="E17" s="193" t="str">
        <f>IF($A17="","",販売表!D17)</f>
        <v/>
      </c>
      <c r="F17" s="59" t="str">
        <f t="shared" si="1"/>
        <v/>
      </c>
      <c r="G17" s="193" t="str">
        <f>IF($A17="","",販売表!E17)</f>
        <v/>
      </c>
      <c r="H17" s="59" t="str">
        <f t="shared" si="2"/>
        <v/>
      </c>
      <c r="I17" s="171" t="str">
        <f>IF($A17="","",販売表!F17)</f>
        <v/>
      </c>
      <c r="J17" s="59" t="str">
        <f t="shared" si="3"/>
        <v/>
      </c>
      <c r="K17" s="171" t="str">
        <f>IF($A17="","",販売表!G17)</f>
        <v/>
      </c>
      <c r="L17" s="59" t="str">
        <f t="shared" si="4"/>
        <v/>
      </c>
      <c r="M17" s="187" t="str">
        <f t="shared" si="5"/>
        <v/>
      </c>
      <c r="N17" s="59" t="str">
        <f t="shared" si="6"/>
        <v/>
      </c>
      <c r="O17" s="34"/>
      <c r="P17" s="34" t="str">
        <f t="shared" si="7"/>
        <v/>
      </c>
      <c r="Q17" s="34" t="str">
        <f t="shared" si="8"/>
        <v/>
      </c>
    </row>
    <row r="18" spans="1:17" ht="15">
      <c r="A18" s="64" t="str">
        <f>IF(販売表!A18=0,"",販売表!A18)</f>
        <v/>
      </c>
      <c r="B18" s="14"/>
      <c r="C18" s="193" t="str">
        <f>IF($A18="","",販売表!C18)</f>
        <v/>
      </c>
      <c r="D18" s="59" t="str">
        <f t="shared" si="0"/>
        <v/>
      </c>
      <c r="E18" s="193" t="str">
        <f>IF($A18="","",販売表!D18)</f>
        <v/>
      </c>
      <c r="F18" s="59" t="str">
        <f t="shared" si="1"/>
        <v/>
      </c>
      <c r="G18" s="193" t="str">
        <f>IF($A18="","",販売表!E18)</f>
        <v/>
      </c>
      <c r="H18" s="59" t="str">
        <f t="shared" si="2"/>
        <v/>
      </c>
      <c r="I18" s="171" t="str">
        <f>IF($A18="","",販売表!F18)</f>
        <v/>
      </c>
      <c r="J18" s="59" t="str">
        <f t="shared" si="3"/>
        <v/>
      </c>
      <c r="K18" s="171" t="str">
        <f>IF($A18="","",販売表!G18)</f>
        <v/>
      </c>
      <c r="L18" s="59" t="str">
        <f t="shared" si="4"/>
        <v/>
      </c>
      <c r="M18" s="187" t="str">
        <f t="shared" si="5"/>
        <v/>
      </c>
      <c r="N18" s="59" t="str">
        <f t="shared" si="6"/>
        <v/>
      </c>
      <c r="O18" s="34"/>
      <c r="P18" s="7" t="str">
        <f t="shared" si="7"/>
        <v/>
      </c>
      <c r="Q18" s="7" t="str">
        <f t="shared" si="8"/>
        <v/>
      </c>
    </row>
    <row r="19" spans="1:17" ht="15">
      <c r="A19" s="64" t="str">
        <f>IF(販売表!A19=0,"",販売表!A19)</f>
        <v/>
      </c>
      <c r="B19" s="14"/>
      <c r="C19" s="193" t="str">
        <f>IF($A19="","",販売表!C19)</f>
        <v/>
      </c>
      <c r="D19" s="59" t="str">
        <f t="shared" si="0"/>
        <v/>
      </c>
      <c r="E19" s="193" t="str">
        <f>IF($A19="","",販売表!D19)</f>
        <v/>
      </c>
      <c r="F19" s="59" t="str">
        <f t="shared" si="1"/>
        <v/>
      </c>
      <c r="G19" s="193" t="str">
        <f>IF($A19="","",販売表!E19)</f>
        <v/>
      </c>
      <c r="H19" s="59" t="str">
        <f t="shared" si="2"/>
        <v/>
      </c>
      <c r="I19" s="171" t="str">
        <f>IF($A19="","",販売表!F19)</f>
        <v/>
      </c>
      <c r="J19" s="59" t="str">
        <f t="shared" si="3"/>
        <v/>
      </c>
      <c r="K19" s="171" t="str">
        <f>IF($A19="","",販売表!G19)</f>
        <v/>
      </c>
      <c r="L19" s="59" t="str">
        <f t="shared" si="4"/>
        <v/>
      </c>
      <c r="M19" s="187" t="str">
        <f t="shared" si="5"/>
        <v/>
      </c>
      <c r="N19" s="59" t="str">
        <f t="shared" si="6"/>
        <v/>
      </c>
      <c r="O19" s="34"/>
      <c r="P19" s="7" t="str">
        <f t="shared" si="7"/>
        <v/>
      </c>
      <c r="Q19" s="7" t="str">
        <f t="shared" si="8"/>
        <v/>
      </c>
    </row>
    <row r="20" spans="1:17" ht="15">
      <c r="A20" s="64" t="str">
        <f>IF(販売表!A20=0,"",販売表!A20)</f>
        <v/>
      </c>
      <c r="B20" s="14"/>
      <c r="C20" s="193" t="str">
        <f>IF($A20="","",販売表!C20)</f>
        <v/>
      </c>
      <c r="D20" s="59" t="str">
        <f t="shared" si="0"/>
        <v/>
      </c>
      <c r="E20" s="193" t="str">
        <f>IF($A20="","",販売表!D20)</f>
        <v/>
      </c>
      <c r="F20" s="59" t="str">
        <f t="shared" si="1"/>
        <v/>
      </c>
      <c r="G20" s="193" t="str">
        <f>IF($A20="","",販売表!E20)</f>
        <v/>
      </c>
      <c r="H20" s="59" t="str">
        <f t="shared" si="2"/>
        <v/>
      </c>
      <c r="I20" s="171" t="str">
        <f>IF($A20="","",販売表!F20)</f>
        <v/>
      </c>
      <c r="J20" s="59" t="str">
        <f t="shared" si="3"/>
        <v/>
      </c>
      <c r="K20" s="171" t="str">
        <f>IF($A20="","",販売表!G20)</f>
        <v/>
      </c>
      <c r="L20" s="59" t="str">
        <f t="shared" si="4"/>
        <v/>
      </c>
      <c r="M20" s="187" t="str">
        <f t="shared" si="5"/>
        <v/>
      </c>
      <c r="N20" s="59" t="str">
        <f t="shared" si="6"/>
        <v/>
      </c>
      <c r="O20" s="34"/>
      <c r="P20" s="7" t="str">
        <f t="shared" si="7"/>
        <v/>
      </c>
      <c r="Q20" s="7" t="str">
        <f t="shared" si="8"/>
        <v/>
      </c>
    </row>
    <row r="21" spans="1:17" ht="15">
      <c r="A21" s="64" t="str">
        <f>IF(販売表!A21=0,"",販売表!A21)</f>
        <v/>
      </c>
      <c r="B21" s="14"/>
      <c r="C21" s="193" t="str">
        <f>IF($A21="","",販売表!C21)</f>
        <v/>
      </c>
      <c r="D21" s="59" t="str">
        <f t="shared" si="0"/>
        <v/>
      </c>
      <c r="E21" s="193" t="str">
        <f>IF($A21="","",販売表!D21)</f>
        <v/>
      </c>
      <c r="F21" s="59" t="str">
        <f t="shared" si="1"/>
        <v/>
      </c>
      <c r="G21" s="193" t="str">
        <f>IF($A21="","",販売表!E21)</f>
        <v/>
      </c>
      <c r="H21" s="59" t="str">
        <f t="shared" si="2"/>
        <v/>
      </c>
      <c r="I21" s="171" t="str">
        <f>IF($A21="","",販売表!F21)</f>
        <v/>
      </c>
      <c r="J21" s="59" t="str">
        <f t="shared" si="3"/>
        <v/>
      </c>
      <c r="K21" s="171" t="str">
        <f>IF($A21="","",販売表!G21)</f>
        <v/>
      </c>
      <c r="L21" s="59" t="str">
        <f t="shared" si="4"/>
        <v/>
      </c>
      <c r="M21" s="187" t="str">
        <f t="shared" si="5"/>
        <v/>
      </c>
      <c r="N21" s="59" t="str">
        <f t="shared" si="6"/>
        <v/>
      </c>
      <c r="O21" s="34"/>
      <c r="P21" s="7" t="str">
        <f t="shared" si="7"/>
        <v/>
      </c>
      <c r="Q21" s="7" t="str">
        <f t="shared" si="8"/>
        <v/>
      </c>
    </row>
    <row r="22" spans="1:17" ht="15">
      <c r="A22" s="64" t="str">
        <f>IF(販売表!A22=0,"",販売表!A22)</f>
        <v/>
      </c>
      <c r="B22" s="14"/>
      <c r="C22" s="193" t="str">
        <f>IF($A22="","",販売表!C22)</f>
        <v/>
      </c>
      <c r="D22" s="59" t="str">
        <f t="shared" si="0"/>
        <v/>
      </c>
      <c r="E22" s="193" t="str">
        <f>IF($A22="","",販売表!D22)</f>
        <v/>
      </c>
      <c r="F22" s="59" t="str">
        <f t="shared" si="1"/>
        <v/>
      </c>
      <c r="G22" s="193" t="str">
        <f>IF($A22="","",販売表!E22)</f>
        <v/>
      </c>
      <c r="H22" s="59" t="str">
        <f t="shared" si="2"/>
        <v/>
      </c>
      <c r="I22" s="171" t="str">
        <f>IF($A22="","",販売表!F22)</f>
        <v/>
      </c>
      <c r="J22" s="59" t="str">
        <f t="shared" si="3"/>
        <v/>
      </c>
      <c r="K22" s="171" t="str">
        <f>IF($A22="","",販売表!G22)</f>
        <v/>
      </c>
      <c r="L22" s="59" t="str">
        <f t="shared" si="4"/>
        <v/>
      </c>
      <c r="M22" s="187" t="str">
        <f t="shared" si="5"/>
        <v/>
      </c>
      <c r="N22" s="59" t="str">
        <f t="shared" si="6"/>
        <v/>
      </c>
      <c r="O22" s="34"/>
      <c r="P22" s="7" t="str">
        <f t="shared" si="7"/>
        <v/>
      </c>
      <c r="Q22" s="7" t="str">
        <f t="shared" si="8"/>
        <v/>
      </c>
    </row>
    <row r="23" spans="1:17" ht="15">
      <c r="A23" s="64" t="str">
        <f>IF(販売表!A23=0,"",販売表!A23)</f>
        <v/>
      </c>
      <c r="B23" s="14"/>
      <c r="C23" s="193" t="str">
        <f>IF($A23="","",販売表!C23)</f>
        <v/>
      </c>
      <c r="D23" s="59" t="str">
        <f t="shared" si="0"/>
        <v/>
      </c>
      <c r="E23" s="193" t="str">
        <f>IF($A23="","",販売表!D23)</f>
        <v/>
      </c>
      <c r="F23" s="59" t="str">
        <f t="shared" si="1"/>
        <v/>
      </c>
      <c r="G23" s="193" t="str">
        <f>IF($A23="","",販売表!E23)</f>
        <v/>
      </c>
      <c r="H23" s="59" t="str">
        <f t="shared" si="2"/>
        <v/>
      </c>
      <c r="I23" s="171" t="str">
        <f>IF($A23="","",販売表!F23)</f>
        <v/>
      </c>
      <c r="J23" s="59" t="str">
        <f t="shared" si="3"/>
        <v/>
      </c>
      <c r="K23" s="171" t="str">
        <f>IF($A23="","",販売表!G23)</f>
        <v/>
      </c>
      <c r="L23" s="59" t="str">
        <f t="shared" si="4"/>
        <v/>
      </c>
      <c r="M23" s="187" t="str">
        <f t="shared" si="5"/>
        <v/>
      </c>
      <c r="N23" s="59" t="str">
        <f t="shared" si="6"/>
        <v/>
      </c>
      <c r="O23" s="34"/>
      <c r="P23" s="7" t="str">
        <f t="shared" si="7"/>
        <v/>
      </c>
      <c r="Q23" s="7" t="str">
        <f t="shared" si="8"/>
        <v/>
      </c>
    </row>
    <row r="24" spans="1:17" ht="15">
      <c r="A24" s="64" t="str">
        <f>IF(販売表!A24=0,"",販売表!A24)</f>
        <v/>
      </c>
      <c r="B24" s="14"/>
      <c r="C24" s="193" t="str">
        <f>IF($A24="","",販売表!C24)</f>
        <v/>
      </c>
      <c r="D24" s="59" t="str">
        <f t="shared" si="0"/>
        <v/>
      </c>
      <c r="E24" s="193" t="str">
        <f>IF($A24="","",販売表!D24)</f>
        <v/>
      </c>
      <c r="F24" s="59" t="str">
        <f t="shared" si="1"/>
        <v/>
      </c>
      <c r="G24" s="193" t="str">
        <f>IF($A24="","",販売表!E24)</f>
        <v/>
      </c>
      <c r="H24" s="59" t="str">
        <f t="shared" si="2"/>
        <v/>
      </c>
      <c r="I24" s="171" t="str">
        <f>IF($A24="","",販売表!F24)</f>
        <v/>
      </c>
      <c r="J24" s="59" t="str">
        <f t="shared" si="3"/>
        <v/>
      </c>
      <c r="K24" s="171" t="str">
        <f>IF($A24="","",販売表!G24)</f>
        <v/>
      </c>
      <c r="L24" s="59" t="str">
        <f t="shared" si="4"/>
        <v/>
      </c>
      <c r="M24" s="187" t="str">
        <f t="shared" si="5"/>
        <v/>
      </c>
      <c r="N24" s="59" t="str">
        <f t="shared" si="6"/>
        <v/>
      </c>
      <c r="O24" s="34"/>
      <c r="P24" s="7" t="str">
        <f t="shared" si="7"/>
        <v/>
      </c>
      <c r="Q24" s="7" t="str">
        <f t="shared" si="8"/>
        <v/>
      </c>
    </row>
    <row r="25" spans="1:17" ht="15">
      <c r="A25" s="64" t="str">
        <f>IF(販売表!A25=0,"",販売表!A25)</f>
        <v/>
      </c>
      <c r="B25" s="14"/>
      <c r="C25" s="193" t="str">
        <f>IF($A25="","",販売表!C25)</f>
        <v/>
      </c>
      <c r="D25" s="59" t="str">
        <f t="shared" si="0"/>
        <v/>
      </c>
      <c r="E25" s="193" t="str">
        <f>IF($A25="","",販売表!D25)</f>
        <v/>
      </c>
      <c r="F25" s="59" t="str">
        <f t="shared" si="1"/>
        <v/>
      </c>
      <c r="G25" s="193" t="str">
        <f>IF($A25="","",販売表!E25)</f>
        <v/>
      </c>
      <c r="H25" s="59" t="str">
        <f t="shared" si="2"/>
        <v/>
      </c>
      <c r="I25" s="171" t="str">
        <f>IF($A25="","",販売表!F25)</f>
        <v/>
      </c>
      <c r="J25" s="59" t="str">
        <f t="shared" si="3"/>
        <v/>
      </c>
      <c r="K25" s="171" t="str">
        <f>IF($A25="","",販売表!G25)</f>
        <v/>
      </c>
      <c r="L25" s="59" t="str">
        <f t="shared" si="4"/>
        <v/>
      </c>
      <c r="M25" s="187" t="str">
        <f t="shared" si="5"/>
        <v/>
      </c>
      <c r="N25" s="59" t="str">
        <f t="shared" si="6"/>
        <v/>
      </c>
      <c r="O25" s="34"/>
      <c r="P25" s="7" t="str">
        <f t="shared" si="7"/>
        <v/>
      </c>
      <c r="Q25" s="7" t="str">
        <f t="shared" si="8"/>
        <v/>
      </c>
    </row>
    <row r="26" spans="1:17" ht="15">
      <c r="A26" s="64" t="str">
        <f>IF(販売表!A26=0,"",販売表!A26)</f>
        <v/>
      </c>
      <c r="B26" s="14"/>
      <c r="C26" s="193" t="str">
        <f>IF($A26="","",販売表!C26)</f>
        <v/>
      </c>
      <c r="D26" s="59" t="str">
        <f t="shared" si="0"/>
        <v/>
      </c>
      <c r="E26" s="193" t="str">
        <f>IF($A26="","",販売表!D26)</f>
        <v/>
      </c>
      <c r="F26" s="59" t="str">
        <f t="shared" si="1"/>
        <v/>
      </c>
      <c r="G26" s="193" t="str">
        <f>IF($A26="","",販売表!E26)</f>
        <v/>
      </c>
      <c r="H26" s="59" t="str">
        <f t="shared" si="2"/>
        <v/>
      </c>
      <c r="I26" s="171" t="str">
        <f>IF($A26="","",販売表!F26)</f>
        <v/>
      </c>
      <c r="J26" s="59" t="str">
        <f t="shared" si="3"/>
        <v/>
      </c>
      <c r="K26" s="171" t="str">
        <f>IF($A26="","",販売表!G26)</f>
        <v/>
      </c>
      <c r="L26" s="59" t="str">
        <f t="shared" si="4"/>
        <v/>
      </c>
      <c r="M26" s="187" t="str">
        <f t="shared" si="5"/>
        <v/>
      </c>
      <c r="N26" s="59" t="str">
        <f t="shared" si="6"/>
        <v/>
      </c>
      <c r="O26" s="34"/>
      <c r="P26" s="7" t="str">
        <f t="shared" si="7"/>
        <v/>
      </c>
      <c r="Q26" s="7" t="str">
        <f t="shared" si="8"/>
        <v/>
      </c>
    </row>
    <row r="27" spans="1:17" ht="15">
      <c r="A27" s="64" t="str">
        <f>IF(販売表!A27=0,"",販売表!A27)</f>
        <v/>
      </c>
      <c r="B27" s="14"/>
      <c r="C27" s="193" t="str">
        <f>IF($A27="","",販売表!C27)</f>
        <v/>
      </c>
      <c r="D27" s="59" t="str">
        <f t="shared" si="0"/>
        <v/>
      </c>
      <c r="E27" s="193" t="str">
        <f>IF($A27="","",販売表!D27)</f>
        <v/>
      </c>
      <c r="F27" s="59" t="str">
        <f t="shared" si="1"/>
        <v/>
      </c>
      <c r="G27" s="193" t="str">
        <f>IF($A27="","",販売表!E27)</f>
        <v/>
      </c>
      <c r="H27" s="59" t="str">
        <f t="shared" si="2"/>
        <v/>
      </c>
      <c r="I27" s="171" t="str">
        <f>IF($A27="","",販売表!F27)</f>
        <v/>
      </c>
      <c r="J27" s="59" t="str">
        <f t="shared" si="3"/>
        <v/>
      </c>
      <c r="K27" s="171" t="str">
        <f>IF($A27="","",販売表!G27)</f>
        <v/>
      </c>
      <c r="L27" s="59" t="str">
        <f t="shared" si="4"/>
        <v/>
      </c>
      <c r="M27" s="187" t="str">
        <f t="shared" si="5"/>
        <v/>
      </c>
      <c r="N27" s="59" t="str">
        <f t="shared" si="6"/>
        <v/>
      </c>
      <c r="O27" s="34"/>
      <c r="P27" s="7" t="str">
        <f t="shared" si="7"/>
        <v/>
      </c>
      <c r="Q27" s="7" t="str">
        <f t="shared" si="8"/>
        <v/>
      </c>
    </row>
    <row r="28" spans="1:17" ht="15">
      <c r="A28" s="64" t="str">
        <f>IF(販売表!A28=0,"",販売表!A28)</f>
        <v/>
      </c>
      <c r="B28" s="14"/>
      <c r="C28" s="193" t="str">
        <f>IF($A28="","",販売表!C28)</f>
        <v/>
      </c>
      <c r="D28" s="59" t="str">
        <f t="shared" si="0"/>
        <v/>
      </c>
      <c r="E28" s="193" t="str">
        <f>IF($A28="","",販売表!D28)</f>
        <v/>
      </c>
      <c r="F28" s="59" t="str">
        <f t="shared" si="1"/>
        <v/>
      </c>
      <c r="G28" s="193" t="str">
        <f>IF($A28="","",販売表!E28)</f>
        <v/>
      </c>
      <c r="H28" s="59" t="str">
        <f t="shared" si="2"/>
        <v/>
      </c>
      <c r="I28" s="171" t="str">
        <f>IF($A28="","",販売表!F28)</f>
        <v/>
      </c>
      <c r="J28" s="59" t="str">
        <f t="shared" si="3"/>
        <v/>
      </c>
      <c r="K28" s="171" t="str">
        <f>IF($A28="","",販売表!G28)</f>
        <v/>
      </c>
      <c r="L28" s="59" t="str">
        <f t="shared" si="4"/>
        <v/>
      </c>
      <c r="M28" s="187" t="str">
        <f t="shared" si="5"/>
        <v/>
      </c>
      <c r="N28" s="59" t="str">
        <f t="shared" si="6"/>
        <v/>
      </c>
      <c r="O28" s="34"/>
      <c r="P28" s="7" t="str">
        <f t="shared" si="7"/>
        <v/>
      </c>
      <c r="Q28" s="7" t="str">
        <f t="shared" si="8"/>
        <v/>
      </c>
    </row>
    <row r="29" spans="1:17" ht="15">
      <c r="A29" s="64" t="str">
        <f>IF(販売表!A29=0,"",販売表!A29)</f>
        <v/>
      </c>
      <c r="B29" s="14"/>
      <c r="C29" s="193" t="str">
        <f>IF($A29="","",販売表!C29)</f>
        <v/>
      </c>
      <c r="D29" s="59" t="str">
        <f t="shared" si="0"/>
        <v/>
      </c>
      <c r="E29" s="193" t="str">
        <f>IF($A29="","",販売表!D29)</f>
        <v/>
      </c>
      <c r="F29" s="59" t="str">
        <f t="shared" si="1"/>
        <v/>
      </c>
      <c r="G29" s="193" t="str">
        <f>IF($A29="","",販売表!E29)</f>
        <v/>
      </c>
      <c r="H29" s="59" t="str">
        <f t="shared" si="2"/>
        <v/>
      </c>
      <c r="I29" s="171" t="str">
        <f>IF($A29="","",販売表!F29)</f>
        <v/>
      </c>
      <c r="J29" s="59" t="str">
        <f t="shared" si="3"/>
        <v/>
      </c>
      <c r="K29" s="171" t="str">
        <f>IF($A29="","",販売表!G29)</f>
        <v/>
      </c>
      <c r="L29" s="59" t="str">
        <f t="shared" si="4"/>
        <v/>
      </c>
      <c r="M29" s="187" t="str">
        <f t="shared" si="5"/>
        <v/>
      </c>
      <c r="N29" s="59" t="str">
        <f t="shared" si="6"/>
        <v/>
      </c>
      <c r="O29" s="34"/>
      <c r="P29" s="7" t="str">
        <f t="shared" si="7"/>
        <v/>
      </c>
      <c r="Q29" s="7" t="str">
        <f t="shared" si="8"/>
        <v/>
      </c>
    </row>
    <row r="30" spans="1:17" ht="15">
      <c r="A30" s="64" t="str">
        <f>IF(販売表!A30=0,"",販売表!A30)</f>
        <v/>
      </c>
      <c r="B30" s="14"/>
      <c r="C30" s="193" t="str">
        <f>IF($A30="","",販売表!C30)</f>
        <v/>
      </c>
      <c r="D30" s="59" t="str">
        <f t="shared" si="0"/>
        <v/>
      </c>
      <c r="E30" s="193" t="str">
        <f>IF($A30="","",販売表!D30)</f>
        <v/>
      </c>
      <c r="F30" s="59" t="str">
        <f t="shared" si="1"/>
        <v/>
      </c>
      <c r="G30" s="193" t="str">
        <f>IF($A30="","",販売表!E30)</f>
        <v/>
      </c>
      <c r="H30" s="59" t="str">
        <f t="shared" si="2"/>
        <v/>
      </c>
      <c r="I30" s="171" t="str">
        <f>IF($A30="","",販売表!F30)</f>
        <v/>
      </c>
      <c r="J30" s="59" t="str">
        <f t="shared" si="3"/>
        <v/>
      </c>
      <c r="K30" s="171" t="str">
        <f>IF($A30="","",販売表!G30)</f>
        <v/>
      </c>
      <c r="L30" s="59" t="str">
        <f t="shared" si="4"/>
        <v/>
      </c>
      <c r="M30" s="187" t="str">
        <f t="shared" si="5"/>
        <v/>
      </c>
      <c r="N30" s="59" t="str">
        <f t="shared" si="6"/>
        <v/>
      </c>
      <c r="O30" s="34"/>
      <c r="P30" s="7" t="str">
        <f t="shared" si="7"/>
        <v/>
      </c>
      <c r="Q30" s="7" t="str">
        <f t="shared" si="8"/>
        <v/>
      </c>
    </row>
    <row r="31" spans="1:17" ht="15">
      <c r="A31" s="64" t="str">
        <f>IF(販売表!A31=0,"",販売表!A31)</f>
        <v/>
      </c>
      <c r="B31" s="14"/>
      <c r="C31" s="193" t="str">
        <f>IF($A31="","",販売表!C31)</f>
        <v/>
      </c>
      <c r="D31" s="59" t="str">
        <f t="shared" si="0"/>
        <v/>
      </c>
      <c r="E31" s="193" t="str">
        <f>IF($A31="","",販売表!D31)</f>
        <v/>
      </c>
      <c r="F31" s="59" t="str">
        <f t="shared" si="1"/>
        <v/>
      </c>
      <c r="G31" s="193" t="str">
        <f>IF($A31="","",販売表!E31)</f>
        <v/>
      </c>
      <c r="H31" s="59" t="str">
        <f t="shared" si="2"/>
        <v/>
      </c>
      <c r="I31" s="171" t="str">
        <f>IF($A31="","",販売表!F31)</f>
        <v/>
      </c>
      <c r="J31" s="59" t="str">
        <f t="shared" si="3"/>
        <v/>
      </c>
      <c r="K31" s="171" t="str">
        <f>IF($A31="","",販売表!G31)</f>
        <v/>
      </c>
      <c r="L31" s="59" t="str">
        <f t="shared" si="4"/>
        <v/>
      </c>
      <c r="M31" s="187" t="str">
        <f t="shared" si="5"/>
        <v/>
      </c>
      <c r="N31" s="59" t="str">
        <f t="shared" si="6"/>
        <v/>
      </c>
      <c r="O31" s="34"/>
      <c r="P31" s="7" t="str">
        <f t="shared" si="7"/>
        <v/>
      </c>
      <c r="Q31" s="7" t="str">
        <f t="shared" si="8"/>
        <v/>
      </c>
    </row>
    <row r="32" spans="1:17" ht="15">
      <c r="A32" s="64" t="str">
        <f>IF(販売表!A32=0,"",販売表!A32)</f>
        <v/>
      </c>
      <c r="B32" s="14"/>
      <c r="C32" s="193" t="str">
        <f>IF($A32="","",販売表!C32)</f>
        <v/>
      </c>
      <c r="D32" s="59" t="str">
        <f t="shared" si="0"/>
        <v/>
      </c>
      <c r="E32" s="193" t="str">
        <f>IF($A32="","",販売表!D32)</f>
        <v/>
      </c>
      <c r="F32" s="59" t="str">
        <f t="shared" si="1"/>
        <v/>
      </c>
      <c r="G32" s="193" t="str">
        <f>IF($A32="","",販売表!E32)</f>
        <v/>
      </c>
      <c r="H32" s="59" t="str">
        <f t="shared" si="2"/>
        <v/>
      </c>
      <c r="I32" s="171" t="str">
        <f>IF($A32="","",販売表!F32)</f>
        <v/>
      </c>
      <c r="J32" s="59" t="str">
        <f t="shared" si="3"/>
        <v/>
      </c>
      <c r="K32" s="171" t="str">
        <f>IF($A32="","",販売表!G32)</f>
        <v/>
      </c>
      <c r="L32" s="59" t="str">
        <f t="shared" si="4"/>
        <v/>
      </c>
      <c r="M32" s="187" t="str">
        <f t="shared" si="5"/>
        <v/>
      </c>
      <c r="N32" s="59" t="str">
        <f t="shared" si="6"/>
        <v/>
      </c>
      <c r="O32" s="34"/>
      <c r="P32" s="7" t="str">
        <f t="shared" si="7"/>
        <v/>
      </c>
      <c r="Q32" s="7" t="str">
        <f t="shared" si="8"/>
        <v/>
      </c>
    </row>
    <row r="33" spans="1:17" ht="15">
      <c r="A33" s="64" t="str">
        <f>IF(販売表!A33=0,"",販売表!A33)</f>
        <v/>
      </c>
      <c r="B33" s="14"/>
      <c r="C33" s="193" t="str">
        <f>IF($A33="","",販売表!C33)</f>
        <v/>
      </c>
      <c r="D33" s="59" t="str">
        <f t="shared" si="0"/>
        <v/>
      </c>
      <c r="E33" s="193" t="str">
        <f>IF($A33="","",販売表!D33)</f>
        <v/>
      </c>
      <c r="F33" s="59" t="str">
        <f t="shared" si="1"/>
        <v/>
      </c>
      <c r="G33" s="193" t="str">
        <f>IF($A33="","",販売表!E33)</f>
        <v/>
      </c>
      <c r="H33" s="59" t="str">
        <f t="shared" si="2"/>
        <v/>
      </c>
      <c r="I33" s="171" t="str">
        <f>IF($A33="","",販売表!F33)</f>
        <v/>
      </c>
      <c r="J33" s="59" t="str">
        <f t="shared" si="3"/>
        <v/>
      </c>
      <c r="K33" s="171" t="str">
        <f>IF($A33="","",販売表!G33)</f>
        <v/>
      </c>
      <c r="L33" s="59" t="str">
        <f t="shared" si="4"/>
        <v/>
      </c>
      <c r="M33" s="187" t="str">
        <f t="shared" si="5"/>
        <v/>
      </c>
      <c r="N33" s="59" t="str">
        <f t="shared" si="6"/>
        <v/>
      </c>
      <c r="O33" s="34"/>
      <c r="P33" s="7" t="str">
        <f t="shared" si="7"/>
        <v/>
      </c>
      <c r="Q33" s="7" t="str">
        <f t="shared" si="8"/>
        <v/>
      </c>
    </row>
    <row r="34" spans="1:17" ht="15">
      <c r="A34" s="64" t="str">
        <f>IF(販売表!A34=0,"",販売表!A34)</f>
        <v/>
      </c>
      <c r="B34" s="14"/>
      <c r="C34" s="193" t="str">
        <f>IF($A34="","",販売表!C34)</f>
        <v/>
      </c>
      <c r="D34" s="59" t="str">
        <f t="shared" si="0"/>
        <v/>
      </c>
      <c r="E34" s="193" t="str">
        <f>IF($A34="","",販売表!D34)</f>
        <v/>
      </c>
      <c r="F34" s="59" t="str">
        <f t="shared" si="1"/>
        <v/>
      </c>
      <c r="G34" s="193" t="str">
        <f>IF($A34="","",販売表!E34)</f>
        <v/>
      </c>
      <c r="H34" s="59" t="str">
        <f t="shared" si="2"/>
        <v/>
      </c>
      <c r="I34" s="171" t="str">
        <f>IF($A34="","",販売表!F34)</f>
        <v/>
      </c>
      <c r="J34" s="59" t="str">
        <f t="shared" si="3"/>
        <v/>
      </c>
      <c r="K34" s="171" t="str">
        <f>IF($A34="","",販売表!G34)</f>
        <v/>
      </c>
      <c r="L34" s="59" t="str">
        <f t="shared" si="4"/>
        <v/>
      </c>
      <c r="M34" s="187" t="str">
        <f t="shared" si="5"/>
        <v/>
      </c>
      <c r="N34" s="59" t="str">
        <f t="shared" si="6"/>
        <v/>
      </c>
      <c r="O34" s="34"/>
      <c r="P34" s="7" t="str">
        <f t="shared" si="7"/>
        <v/>
      </c>
      <c r="Q34" s="7" t="str">
        <f t="shared" si="8"/>
        <v/>
      </c>
    </row>
    <row r="35" spans="1:17" ht="15">
      <c r="A35" s="64" t="str">
        <f>IF(販売表!A35=0,"",販売表!A35)</f>
        <v/>
      </c>
      <c r="B35" s="160"/>
      <c r="C35" s="194" t="str">
        <f>IF($A35="","",販売表!C35)</f>
        <v/>
      </c>
      <c r="D35" s="186" t="str">
        <f t="shared" si="0"/>
        <v/>
      </c>
      <c r="E35" s="194" t="str">
        <f>IF($A35="","",販売表!D35)</f>
        <v/>
      </c>
      <c r="F35" s="186" t="str">
        <f t="shared" si="1"/>
        <v/>
      </c>
      <c r="G35" s="194" t="str">
        <f>IF($A35="","",販売表!E35)</f>
        <v/>
      </c>
      <c r="H35" s="186" t="str">
        <f t="shared" si="2"/>
        <v/>
      </c>
      <c r="I35" s="185" t="str">
        <f>IF($A35="","",販売表!F35)</f>
        <v/>
      </c>
      <c r="J35" s="186" t="str">
        <f t="shared" si="3"/>
        <v/>
      </c>
      <c r="K35" s="185" t="str">
        <f>IF($A35="","",販売表!G35)</f>
        <v/>
      </c>
      <c r="L35" s="186" t="str">
        <f t="shared" si="4"/>
        <v/>
      </c>
      <c r="M35" s="188" t="str">
        <f t="shared" si="5"/>
        <v/>
      </c>
      <c r="N35" s="186" t="str">
        <f t="shared" si="6"/>
        <v/>
      </c>
      <c r="O35" s="250"/>
      <c r="P35" s="250" t="str">
        <f t="shared" si="7"/>
        <v/>
      </c>
      <c r="Q35" s="250" t="str">
        <f t="shared" si="8"/>
        <v/>
      </c>
    </row>
    <row r="36" spans="1:17" ht="15">
      <c r="A36" s="64" t="str">
        <f>IF(販売表!A36=0,"",販売表!A36)</f>
        <v/>
      </c>
      <c r="B36" s="14"/>
      <c r="C36" s="193" t="str">
        <f>IF($A36="","",販売表!C36)</f>
        <v/>
      </c>
      <c r="D36" s="59" t="str">
        <f t="shared" si="0"/>
        <v/>
      </c>
      <c r="E36" s="193" t="str">
        <f>IF($A36="","",販売表!D36)</f>
        <v/>
      </c>
      <c r="F36" s="59" t="str">
        <f t="shared" si="1"/>
        <v/>
      </c>
      <c r="G36" s="193" t="str">
        <f>IF($A36="","",販売表!E36)</f>
        <v/>
      </c>
      <c r="H36" s="59" t="str">
        <f t="shared" si="2"/>
        <v/>
      </c>
      <c r="I36" s="171" t="str">
        <f>IF($A36="","",販売表!F36)</f>
        <v/>
      </c>
      <c r="J36" s="59" t="str">
        <f t="shared" si="3"/>
        <v/>
      </c>
      <c r="K36" s="171" t="str">
        <f>IF($A36="","",販売表!G36)</f>
        <v/>
      </c>
      <c r="L36" s="59" t="str">
        <f t="shared" si="4"/>
        <v/>
      </c>
      <c r="M36" s="187" t="str">
        <f t="shared" si="5"/>
        <v/>
      </c>
      <c r="N36" s="59" t="str">
        <f t="shared" si="6"/>
        <v/>
      </c>
      <c r="O36" s="7"/>
      <c r="P36" s="7" t="str">
        <f t="shared" si="7"/>
        <v/>
      </c>
      <c r="Q36" s="7" t="str">
        <f t="shared" si="8"/>
        <v/>
      </c>
    </row>
    <row r="37" spans="1:17" ht="15">
      <c r="A37" s="64" t="str">
        <f>IF(販売表!A37=0,"",販売表!A37)</f>
        <v/>
      </c>
      <c r="B37" s="14"/>
      <c r="C37" s="193" t="str">
        <f>IF($A37="","",販売表!C37)</f>
        <v/>
      </c>
      <c r="D37" s="59" t="str">
        <f t="shared" si="0"/>
        <v/>
      </c>
      <c r="E37" s="193" t="str">
        <f>IF($A37="","",販売表!D37)</f>
        <v/>
      </c>
      <c r="F37" s="59" t="str">
        <f t="shared" si="1"/>
        <v/>
      </c>
      <c r="G37" s="193" t="str">
        <f>IF($A37="","",販売表!E37)</f>
        <v/>
      </c>
      <c r="H37" s="59" t="str">
        <f t="shared" si="2"/>
        <v/>
      </c>
      <c r="I37" s="171" t="str">
        <f>IF($A37="","",販売表!F37)</f>
        <v/>
      </c>
      <c r="J37" s="59" t="str">
        <f t="shared" si="3"/>
        <v/>
      </c>
      <c r="K37" s="171" t="str">
        <f>IF($A37="","",販売表!G37)</f>
        <v/>
      </c>
      <c r="L37" s="59" t="str">
        <f t="shared" si="4"/>
        <v/>
      </c>
      <c r="M37" s="187" t="str">
        <f t="shared" si="5"/>
        <v/>
      </c>
      <c r="N37" s="59" t="str">
        <f t="shared" si="6"/>
        <v/>
      </c>
      <c r="O37" s="34"/>
      <c r="P37" s="7" t="str">
        <f t="shared" si="7"/>
        <v/>
      </c>
      <c r="Q37" s="7" t="str">
        <f t="shared" si="8"/>
        <v/>
      </c>
    </row>
    <row r="38" spans="1:17" ht="15">
      <c r="A38" s="64" t="str">
        <f>IF(販売表!A38=0,"",販売表!A38)</f>
        <v/>
      </c>
      <c r="B38" s="14"/>
      <c r="C38" s="193" t="str">
        <f>IF($A38="","",販売表!C38)</f>
        <v/>
      </c>
      <c r="D38" s="59" t="str">
        <f t="shared" si="0"/>
        <v/>
      </c>
      <c r="E38" s="193" t="str">
        <f>IF($A38="","",販売表!D38)</f>
        <v/>
      </c>
      <c r="F38" s="59" t="str">
        <f t="shared" si="1"/>
        <v/>
      </c>
      <c r="G38" s="193" t="str">
        <f>IF($A38="","",販売表!E38)</f>
        <v/>
      </c>
      <c r="H38" s="59" t="str">
        <f t="shared" si="2"/>
        <v/>
      </c>
      <c r="I38" s="171" t="str">
        <f>IF($A38="","",販売表!F38)</f>
        <v/>
      </c>
      <c r="J38" s="59" t="str">
        <f t="shared" si="3"/>
        <v/>
      </c>
      <c r="K38" s="171" t="str">
        <f>IF($A38="","",販売表!G38)</f>
        <v/>
      </c>
      <c r="L38" s="59" t="str">
        <f t="shared" si="4"/>
        <v/>
      </c>
      <c r="M38" s="187" t="str">
        <f t="shared" si="5"/>
        <v/>
      </c>
      <c r="N38" s="59" t="str">
        <f t="shared" si="6"/>
        <v/>
      </c>
      <c r="O38" s="34"/>
      <c r="P38" s="7" t="str">
        <f t="shared" si="7"/>
        <v/>
      </c>
      <c r="Q38" s="7" t="str">
        <f t="shared" si="8"/>
        <v/>
      </c>
    </row>
    <row r="39" spans="1:17" ht="15">
      <c r="A39" s="64" t="str">
        <f>IF(販売表!A39=0,"",販売表!A39)</f>
        <v/>
      </c>
      <c r="B39" s="14"/>
      <c r="C39" s="193" t="str">
        <f>IF($A39="","",販売表!C39)</f>
        <v/>
      </c>
      <c r="D39" s="59" t="str">
        <f t="shared" si="0"/>
        <v/>
      </c>
      <c r="E39" s="193" t="str">
        <f>IF($A39="","",販売表!D39)</f>
        <v/>
      </c>
      <c r="F39" s="59" t="str">
        <f t="shared" si="1"/>
        <v/>
      </c>
      <c r="G39" s="193" t="str">
        <f>IF($A39="","",販売表!E39)</f>
        <v/>
      </c>
      <c r="H39" s="59" t="str">
        <f t="shared" si="2"/>
        <v/>
      </c>
      <c r="I39" s="171" t="str">
        <f>IF($A39="","",販売表!F39)</f>
        <v/>
      </c>
      <c r="J39" s="59" t="str">
        <f t="shared" si="3"/>
        <v/>
      </c>
      <c r="K39" s="171" t="str">
        <f>IF($A39="","",販売表!G39)</f>
        <v/>
      </c>
      <c r="L39" s="59" t="str">
        <f t="shared" si="4"/>
        <v/>
      </c>
      <c r="M39" s="187" t="str">
        <f t="shared" si="5"/>
        <v/>
      </c>
      <c r="N39" s="59" t="str">
        <f t="shared" si="6"/>
        <v/>
      </c>
      <c r="O39" s="34"/>
      <c r="P39" s="7" t="str">
        <f t="shared" si="7"/>
        <v/>
      </c>
      <c r="Q39" s="7" t="str">
        <f t="shared" si="8"/>
        <v/>
      </c>
    </row>
    <row r="40" spans="1:17" ht="15">
      <c r="A40" s="64" t="str">
        <f>IF(販売表!A40=0,"",販売表!A40)</f>
        <v/>
      </c>
      <c r="B40" s="14"/>
      <c r="C40" s="193" t="str">
        <f>IF($A40="","",販売表!C40)</f>
        <v/>
      </c>
      <c r="D40" s="59" t="str">
        <f t="shared" si="0"/>
        <v/>
      </c>
      <c r="E40" s="193" t="str">
        <f>IF($A40="","",販売表!D40)</f>
        <v/>
      </c>
      <c r="F40" s="59" t="str">
        <f t="shared" si="1"/>
        <v/>
      </c>
      <c r="G40" s="193" t="str">
        <f>IF($A40="","",販売表!E40)</f>
        <v/>
      </c>
      <c r="H40" s="59" t="str">
        <f t="shared" si="2"/>
        <v/>
      </c>
      <c r="I40" s="171" t="str">
        <f>IF($A40="","",販売表!F40)</f>
        <v/>
      </c>
      <c r="J40" s="59" t="str">
        <f t="shared" si="3"/>
        <v/>
      </c>
      <c r="K40" s="171" t="str">
        <f>IF($A40="","",販売表!G40)</f>
        <v/>
      </c>
      <c r="L40" s="59" t="str">
        <f t="shared" si="4"/>
        <v/>
      </c>
      <c r="M40" s="187" t="str">
        <f t="shared" si="5"/>
        <v/>
      </c>
      <c r="N40" s="59" t="str">
        <f t="shared" si="6"/>
        <v/>
      </c>
      <c r="O40" s="34"/>
      <c r="P40" s="7" t="str">
        <f t="shared" si="7"/>
        <v/>
      </c>
      <c r="Q40" s="7" t="str">
        <f t="shared" si="8"/>
        <v/>
      </c>
    </row>
    <row r="41" spans="1:17" ht="15">
      <c r="A41" s="64" t="str">
        <f>IF(販売表!A41=0,"",販売表!A41)</f>
        <v/>
      </c>
      <c r="B41" s="14"/>
      <c r="C41" s="193" t="str">
        <f>IF($A41="","",販売表!C41)</f>
        <v/>
      </c>
      <c r="D41" s="59" t="str">
        <f t="shared" si="0"/>
        <v/>
      </c>
      <c r="E41" s="193" t="str">
        <f>IF($A41="","",販売表!D41)</f>
        <v/>
      </c>
      <c r="F41" s="59" t="str">
        <f t="shared" si="1"/>
        <v/>
      </c>
      <c r="G41" s="193" t="str">
        <f>IF($A41="","",販売表!E41)</f>
        <v/>
      </c>
      <c r="H41" s="59" t="str">
        <f t="shared" si="2"/>
        <v/>
      </c>
      <c r="I41" s="171" t="str">
        <f>IF($A41="","",販売表!F41)</f>
        <v/>
      </c>
      <c r="J41" s="59" t="str">
        <f t="shared" si="3"/>
        <v/>
      </c>
      <c r="K41" s="171" t="str">
        <f>IF($A41="","",販売表!G41)</f>
        <v/>
      </c>
      <c r="L41" s="59" t="str">
        <f t="shared" si="4"/>
        <v/>
      </c>
      <c r="M41" s="187" t="str">
        <f t="shared" si="5"/>
        <v/>
      </c>
      <c r="N41" s="59" t="str">
        <f t="shared" si="6"/>
        <v/>
      </c>
      <c r="O41" s="34"/>
      <c r="P41" s="7" t="str">
        <f t="shared" si="7"/>
        <v/>
      </c>
      <c r="Q41" s="7" t="str">
        <f t="shared" si="8"/>
        <v/>
      </c>
    </row>
    <row r="42" spans="1:17" ht="15">
      <c r="A42" s="64" t="str">
        <f>IF(販売表!A42=0,"",販売表!A42)</f>
        <v/>
      </c>
      <c r="B42" s="14"/>
      <c r="C42" s="193" t="str">
        <f>IF($A42="","",販売表!C42)</f>
        <v/>
      </c>
      <c r="D42" s="59" t="str">
        <f t="shared" si="0"/>
        <v/>
      </c>
      <c r="E42" s="193" t="str">
        <f>IF($A42="","",販売表!D42)</f>
        <v/>
      </c>
      <c r="F42" s="59" t="str">
        <f t="shared" si="1"/>
        <v/>
      </c>
      <c r="G42" s="193" t="str">
        <f>IF($A42="","",販売表!E42)</f>
        <v/>
      </c>
      <c r="H42" s="59" t="str">
        <f t="shared" si="2"/>
        <v/>
      </c>
      <c r="I42" s="171" t="str">
        <f>IF($A42="","",販売表!F42)</f>
        <v/>
      </c>
      <c r="J42" s="59" t="str">
        <f t="shared" si="3"/>
        <v/>
      </c>
      <c r="K42" s="171" t="str">
        <f>IF($A42="","",販売表!G42)</f>
        <v/>
      </c>
      <c r="L42" s="59" t="str">
        <f t="shared" si="4"/>
        <v/>
      </c>
      <c r="M42" s="187" t="str">
        <f t="shared" si="5"/>
        <v/>
      </c>
      <c r="N42" s="59" t="str">
        <f t="shared" si="6"/>
        <v/>
      </c>
      <c r="O42" s="34"/>
      <c r="P42" s="7" t="str">
        <f t="shared" si="7"/>
        <v/>
      </c>
      <c r="Q42" s="7" t="str">
        <f t="shared" si="8"/>
        <v/>
      </c>
    </row>
    <row r="43" spans="1:17" ht="15">
      <c r="A43" s="64" t="str">
        <f>IF(販売表!A43=0,"",販売表!A43)</f>
        <v/>
      </c>
      <c r="B43" s="14"/>
      <c r="C43" s="193" t="str">
        <f>IF($A43="","",販売表!C43)</f>
        <v/>
      </c>
      <c r="D43" s="59" t="str">
        <f t="shared" si="0"/>
        <v/>
      </c>
      <c r="E43" s="193" t="str">
        <f>IF($A43="","",販売表!D43)</f>
        <v/>
      </c>
      <c r="F43" s="59" t="str">
        <f t="shared" si="1"/>
        <v/>
      </c>
      <c r="G43" s="193" t="str">
        <f>IF($A43="","",販売表!E43)</f>
        <v/>
      </c>
      <c r="H43" s="59" t="str">
        <f t="shared" si="2"/>
        <v/>
      </c>
      <c r="I43" s="171" t="str">
        <f>IF($A43="","",販売表!F43)</f>
        <v/>
      </c>
      <c r="J43" s="59" t="str">
        <f t="shared" si="3"/>
        <v/>
      </c>
      <c r="K43" s="171" t="str">
        <f>IF($A43="","",販売表!G43)</f>
        <v/>
      </c>
      <c r="L43" s="59" t="str">
        <f t="shared" si="4"/>
        <v/>
      </c>
      <c r="M43" s="187" t="str">
        <f t="shared" si="5"/>
        <v/>
      </c>
      <c r="N43" s="59" t="str">
        <f t="shared" si="6"/>
        <v/>
      </c>
      <c r="O43" s="252"/>
      <c r="P43" s="7" t="str">
        <f t="shared" si="7"/>
        <v/>
      </c>
      <c r="Q43" s="156" t="str">
        <f t="shared" si="8"/>
        <v/>
      </c>
    </row>
    <row r="44" spans="1:17" ht="15">
      <c r="A44" s="64" t="str">
        <f>IF(販売表!A44=0,"",販売表!A44)</f>
        <v/>
      </c>
      <c r="B44" s="155"/>
      <c r="C44" s="193" t="str">
        <f>IF($A44="","",販売表!C44)</f>
        <v/>
      </c>
      <c r="D44" s="59" t="str">
        <f t="shared" si="0"/>
        <v/>
      </c>
      <c r="E44" s="193" t="str">
        <f>IF($A44="","",販売表!D44)</f>
        <v/>
      </c>
      <c r="F44" s="59" t="str">
        <f t="shared" si="1"/>
        <v/>
      </c>
      <c r="G44" s="193" t="str">
        <f>IF($A44="","",販売表!E44)</f>
        <v/>
      </c>
      <c r="H44" s="59" t="str">
        <f t="shared" si="2"/>
        <v/>
      </c>
      <c r="I44" s="171" t="str">
        <f>IF($A44="","",販売表!F44)</f>
        <v/>
      </c>
      <c r="J44" s="59" t="str">
        <f t="shared" si="3"/>
        <v/>
      </c>
      <c r="K44" s="171" t="str">
        <f>IF($A44="","",販売表!G44)</f>
        <v/>
      </c>
      <c r="L44" s="59" t="str">
        <f t="shared" si="4"/>
        <v/>
      </c>
      <c r="M44" s="187" t="str">
        <f t="shared" si="5"/>
        <v/>
      </c>
      <c r="N44" s="59" t="str">
        <f t="shared" si="6"/>
        <v/>
      </c>
      <c r="O44" s="34"/>
      <c r="P44" s="7" t="str">
        <f t="shared" si="7"/>
        <v/>
      </c>
      <c r="Q44" s="7" t="str">
        <f t="shared" si="8"/>
        <v/>
      </c>
    </row>
    <row r="45" spans="1:17" ht="15">
      <c r="A45" s="64" t="str">
        <f>IF(販売表!A45=0,"",販売表!A45)</f>
        <v/>
      </c>
      <c r="B45" s="14"/>
      <c r="C45" s="193" t="str">
        <f>IF($A45="","",販売表!C45)</f>
        <v/>
      </c>
      <c r="D45" s="59" t="str">
        <f t="shared" si="0"/>
        <v/>
      </c>
      <c r="E45" s="193" t="str">
        <f>IF($A45="","",販売表!D45)</f>
        <v/>
      </c>
      <c r="F45" s="59" t="str">
        <f t="shared" si="1"/>
        <v/>
      </c>
      <c r="G45" s="193" t="str">
        <f>IF($A45="","",販売表!E45)</f>
        <v/>
      </c>
      <c r="H45" s="59" t="str">
        <f t="shared" si="2"/>
        <v/>
      </c>
      <c r="I45" s="171" t="str">
        <f>IF($A45="","",販売表!F45)</f>
        <v/>
      </c>
      <c r="J45" s="59" t="str">
        <f t="shared" si="3"/>
        <v/>
      </c>
      <c r="K45" s="171" t="str">
        <f>IF($A45="","",販売表!G45)</f>
        <v/>
      </c>
      <c r="L45" s="59" t="str">
        <f t="shared" si="4"/>
        <v/>
      </c>
      <c r="M45" s="187" t="str">
        <f t="shared" si="5"/>
        <v/>
      </c>
      <c r="N45" s="246" t="str">
        <f t="shared" si="6"/>
        <v/>
      </c>
      <c r="O45" s="7"/>
      <c r="P45" s="7" t="str">
        <f t="shared" si="7"/>
        <v/>
      </c>
      <c r="Q45" s="7" t="str">
        <f t="shared" si="8"/>
        <v/>
      </c>
    </row>
    <row r="46" spans="1:17" ht="15">
      <c r="A46" s="64" t="str">
        <f>IF(販売表!A46=0,"",販売表!A46)</f>
        <v/>
      </c>
      <c r="B46" s="14"/>
      <c r="C46" s="193" t="str">
        <f>IF($A46="","",販売表!C46)</f>
        <v/>
      </c>
      <c r="D46" s="59" t="str">
        <f t="shared" si="0"/>
        <v/>
      </c>
      <c r="E46" s="193" t="str">
        <f>IF($A46="","",販売表!D46)</f>
        <v/>
      </c>
      <c r="F46" s="59" t="str">
        <f t="shared" si="1"/>
        <v/>
      </c>
      <c r="G46" s="193" t="str">
        <f>IF($A46="","",販売表!E46)</f>
        <v/>
      </c>
      <c r="H46" s="59" t="str">
        <f t="shared" si="2"/>
        <v/>
      </c>
      <c r="I46" s="171" t="str">
        <f>IF($A46="","",販売表!F46)</f>
        <v/>
      </c>
      <c r="J46" s="59" t="str">
        <f t="shared" si="3"/>
        <v/>
      </c>
      <c r="K46" s="171" t="str">
        <f>IF($A46="","",販売表!G46)</f>
        <v/>
      </c>
      <c r="L46" s="59" t="str">
        <f t="shared" si="4"/>
        <v/>
      </c>
      <c r="M46" s="187" t="str">
        <f t="shared" si="5"/>
        <v/>
      </c>
      <c r="N46" s="59" t="str">
        <f t="shared" si="6"/>
        <v/>
      </c>
      <c r="O46" s="34"/>
      <c r="P46" s="7" t="str">
        <f t="shared" si="7"/>
        <v/>
      </c>
      <c r="Q46" s="7" t="str">
        <f t="shared" si="8"/>
        <v/>
      </c>
    </row>
    <row r="47" spans="1:17" ht="14.25" customHeight="1">
      <c r="A47" s="64" t="str">
        <f>IF(販売表!A47=0,"",販売表!A47)</f>
        <v/>
      </c>
      <c r="B47" s="14"/>
      <c r="C47" s="193" t="str">
        <f>IF($A47="","",販売表!C47)</f>
        <v/>
      </c>
      <c r="D47" s="59" t="str">
        <f t="shared" si="0"/>
        <v/>
      </c>
      <c r="E47" s="193" t="str">
        <f>IF($A47="","",販売表!D47)</f>
        <v/>
      </c>
      <c r="F47" s="59" t="str">
        <f t="shared" si="1"/>
        <v/>
      </c>
      <c r="G47" s="193" t="str">
        <f>IF($A47="","",販売表!E47)</f>
        <v/>
      </c>
      <c r="H47" s="59" t="str">
        <f t="shared" si="2"/>
        <v/>
      </c>
      <c r="I47" s="171" t="str">
        <f>IF($A47="","",販売表!F47)</f>
        <v/>
      </c>
      <c r="J47" s="59" t="str">
        <f t="shared" si="3"/>
        <v/>
      </c>
      <c r="K47" s="171" t="str">
        <f>IF($A47="","",販売表!G47)</f>
        <v/>
      </c>
      <c r="L47" s="59" t="str">
        <f t="shared" si="4"/>
        <v/>
      </c>
      <c r="M47" s="187" t="str">
        <f t="shared" si="5"/>
        <v/>
      </c>
      <c r="N47" s="59" t="str">
        <f t="shared" si="6"/>
        <v/>
      </c>
      <c r="O47" s="34"/>
      <c r="P47" s="7" t="str">
        <f t="shared" si="7"/>
        <v/>
      </c>
      <c r="Q47" s="7" t="str">
        <f t="shared" si="8"/>
        <v/>
      </c>
    </row>
    <row r="48" spans="1:17" s="253" customFormat="1" ht="15">
      <c r="A48" s="64" t="str">
        <f>IF(販売表!A48=0,"",販売表!A48)</f>
        <v/>
      </c>
      <c r="B48" s="14"/>
      <c r="C48" s="193" t="str">
        <f>IF($A48="","",販売表!C48)</f>
        <v/>
      </c>
      <c r="D48" s="59" t="str">
        <f t="shared" si="0"/>
        <v/>
      </c>
      <c r="E48" s="193" t="str">
        <f>IF($A48="","",販売表!D48)</f>
        <v/>
      </c>
      <c r="F48" s="59" t="str">
        <f t="shared" si="1"/>
        <v/>
      </c>
      <c r="G48" s="193" t="str">
        <f>IF($A48="","",販売表!E48)</f>
        <v/>
      </c>
      <c r="H48" s="59" t="str">
        <f t="shared" si="2"/>
        <v/>
      </c>
      <c r="I48" s="171" t="str">
        <f>IF($A48="","",販売表!F48)</f>
        <v/>
      </c>
      <c r="J48" s="59" t="str">
        <f t="shared" si="3"/>
        <v/>
      </c>
      <c r="K48" s="171" t="str">
        <f>IF($A48="","",販売表!G48)</f>
        <v/>
      </c>
      <c r="L48" s="59" t="str">
        <f t="shared" si="4"/>
        <v/>
      </c>
      <c r="M48" s="187" t="str">
        <f t="shared" si="5"/>
        <v/>
      </c>
      <c r="N48" s="59" t="str">
        <f t="shared" si="6"/>
        <v/>
      </c>
      <c r="O48" s="34"/>
      <c r="P48" s="7" t="str">
        <f t="shared" si="7"/>
        <v/>
      </c>
      <c r="Q48" s="7" t="str">
        <f t="shared" si="8"/>
        <v/>
      </c>
    </row>
    <row r="49" spans="1:17" ht="15">
      <c r="A49" s="64" t="str">
        <f>IF(販売表!A49=0,"",販売表!A49)</f>
        <v/>
      </c>
      <c r="B49" s="302"/>
      <c r="C49" s="193" t="str">
        <f>IF($A49="","",販売表!C49)</f>
        <v/>
      </c>
      <c r="D49" s="59" t="str">
        <f t="shared" si="0"/>
        <v/>
      </c>
      <c r="E49" s="193" t="str">
        <f>IF($A49="","",販売表!D49)</f>
        <v/>
      </c>
      <c r="F49" s="59" t="str">
        <f t="shared" si="1"/>
        <v/>
      </c>
      <c r="G49" s="193" t="str">
        <f>IF($A49="","",販売表!E49)</f>
        <v/>
      </c>
      <c r="H49" s="59" t="str">
        <f t="shared" si="2"/>
        <v/>
      </c>
      <c r="I49" s="171" t="str">
        <f>IF($A49="","",販売表!F49)</f>
        <v/>
      </c>
      <c r="J49" s="59" t="str">
        <f t="shared" si="3"/>
        <v/>
      </c>
      <c r="K49" s="171" t="str">
        <f>IF($A49="","",販売表!G49)</f>
        <v/>
      </c>
      <c r="L49" s="59" t="str">
        <f t="shared" si="4"/>
        <v/>
      </c>
      <c r="M49" s="187" t="str">
        <f t="shared" si="5"/>
        <v/>
      </c>
      <c r="N49" s="59" t="str">
        <f t="shared" si="6"/>
        <v/>
      </c>
      <c r="O49" s="34"/>
      <c r="P49" s="64" t="str">
        <f t="shared" si="7"/>
        <v/>
      </c>
      <c r="Q49" s="7" t="str">
        <f t="shared" si="8"/>
        <v/>
      </c>
    </row>
    <row r="50" spans="1:17" ht="15">
      <c r="A50" s="64" t="str">
        <f>IF(販売表!A50=0,"",販売表!A50)</f>
        <v/>
      </c>
      <c r="B50" s="14"/>
      <c r="C50" s="193" t="str">
        <f>IF($A50="","",販売表!C50)</f>
        <v/>
      </c>
      <c r="D50" s="59" t="str">
        <f t="shared" si="0"/>
        <v/>
      </c>
      <c r="E50" s="193" t="str">
        <f>IF($A50="","",販売表!D50)</f>
        <v/>
      </c>
      <c r="F50" s="59" t="str">
        <f t="shared" si="1"/>
        <v/>
      </c>
      <c r="G50" s="193" t="str">
        <f>IF($A50="","",販売表!E50)</f>
        <v/>
      </c>
      <c r="H50" s="59" t="str">
        <f t="shared" si="2"/>
        <v/>
      </c>
      <c r="I50" s="171" t="str">
        <f>IF($A50="","",販売表!F50)</f>
        <v/>
      </c>
      <c r="J50" s="59" t="str">
        <f t="shared" si="3"/>
        <v/>
      </c>
      <c r="K50" s="171" t="str">
        <f>IF($A50="","",販売表!G50)</f>
        <v/>
      </c>
      <c r="L50" s="59" t="str">
        <f t="shared" si="4"/>
        <v/>
      </c>
      <c r="M50" s="187" t="str">
        <f t="shared" si="5"/>
        <v/>
      </c>
      <c r="N50" s="59" t="str">
        <f t="shared" si="6"/>
        <v/>
      </c>
      <c r="O50" s="34"/>
      <c r="P50" s="7" t="str">
        <f t="shared" si="7"/>
        <v/>
      </c>
      <c r="Q50" s="7" t="str">
        <f t="shared" si="8"/>
        <v/>
      </c>
    </row>
    <row r="51" spans="1:17" ht="15">
      <c r="A51" s="64" t="str">
        <f>IF(販売表!A51=0,"",販売表!A51)</f>
        <v/>
      </c>
      <c r="B51" s="14"/>
      <c r="C51" s="193" t="str">
        <f>IF($A51="","",販売表!C51)</f>
        <v/>
      </c>
      <c r="D51" s="59" t="str">
        <f t="shared" si="0"/>
        <v/>
      </c>
      <c r="E51" s="193" t="str">
        <f>IF($A51="","",販売表!D51)</f>
        <v/>
      </c>
      <c r="F51" s="59" t="str">
        <f t="shared" si="1"/>
        <v/>
      </c>
      <c r="G51" s="193" t="str">
        <f>IF($A51="","",販売表!E51)</f>
        <v/>
      </c>
      <c r="H51" s="59" t="str">
        <f t="shared" si="2"/>
        <v/>
      </c>
      <c r="I51" s="171" t="str">
        <f>IF($A51="","",販売表!F51)</f>
        <v/>
      </c>
      <c r="J51" s="59" t="str">
        <f t="shared" si="3"/>
        <v/>
      </c>
      <c r="K51" s="171" t="str">
        <f>IF($A51="","",販売表!G51)</f>
        <v/>
      </c>
      <c r="L51" s="59" t="str">
        <f t="shared" si="4"/>
        <v/>
      </c>
      <c r="M51" s="187" t="str">
        <f t="shared" si="5"/>
        <v/>
      </c>
      <c r="N51" s="59" t="str">
        <f t="shared" si="6"/>
        <v/>
      </c>
      <c r="O51" s="34"/>
      <c r="P51" s="7" t="str">
        <f t="shared" si="7"/>
        <v/>
      </c>
      <c r="Q51" s="7" t="str">
        <f t="shared" si="8"/>
        <v/>
      </c>
    </row>
    <row r="52" spans="1:17" ht="15">
      <c r="A52" s="64" t="str">
        <f>IF(販売表!A52=0,"",販売表!A52)</f>
        <v/>
      </c>
      <c r="B52" s="14"/>
      <c r="C52" s="193" t="str">
        <f>IF($A52="","",販売表!C52)</f>
        <v/>
      </c>
      <c r="D52" s="59" t="str">
        <f t="shared" si="0"/>
        <v/>
      </c>
      <c r="E52" s="193" t="str">
        <f>IF($A52="","",販売表!D52)</f>
        <v/>
      </c>
      <c r="F52" s="59" t="str">
        <f t="shared" si="1"/>
        <v/>
      </c>
      <c r="G52" s="193" t="str">
        <f>IF($A52="","",販売表!E52)</f>
        <v/>
      </c>
      <c r="H52" s="59" t="str">
        <f t="shared" si="2"/>
        <v/>
      </c>
      <c r="I52" s="171" t="str">
        <f>IF($A52="","",販売表!F52)</f>
        <v/>
      </c>
      <c r="J52" s="59" t="str">
        <f t="shared" si="3"/>
        <v/>
      </c>
      <c r="K52" s="171" t="str">
        <f>IF($A52="","",販売表!G52)</f>
        <v/>
      </c>
      <c r="L52" s="59" t="str">
        <f t="shared" si="4"/>
        <v/>
      </c>
      <c r="M52" s="187" t="str">
        <f t="shared" si="5"/>
        <v/>
      </c>
      <c r="N52" s="59" t="str">
        <f t="shared" si="6"/>
        <v/>
      </c>
      <c r="O52" s="34"/>
      <c r="P52" s="7" t="str">
        <f t="shared" si="7"/>
        <v/>
      </c>
      <c r="Q52" s="7" t="str">
        <f t="shared" si="8"/>
        <v/>
      </c>
    </row>
    <row r="53" spans="1:17" ht="15">
      <c r="A53" s="64" t="str">
        <f>IF(販売表!A53=0,"",販売表!A53)</f>
        <v/>
      </c>
      <c r="B53" s="14"/>
      <c r="C53" s="193" t="str">
        <f>IF($A53="","",販売表!C53)</f>
        <v/>
      </c>
      <c r="D53" s="59" t="str">
        <f t="shared" si="0"/>
        <v/>
      </c>
      <c r="E53" s="193" t="str">
        <f>IF($A53="","",販売表!D53)</f>
        <v/>
      </c>
      <c r="F53" s="59" t="str">
        <f t="shared" si="1"/>
        <v/>
      </c>
      <c r="G53" s="193" t="str">
        <f>IF($A53="","",販売表!E53)</f>
        <v/>
      </c>
      <c r="H53" s="59" t="str">
        <f t="shared" si="2"/>
        <v/>
      </c>
      <c r="I53" s="171" t="str">
        <f>IF($A53="","",販売表!F53)</f>
        <v/>
      </c>
      <c r="J53" s="59" t="str">
        <f t="shared" si="3"/>
        <v/>
      </c>
      <c r="K53" s="171" t="str">
        <f>IF($A53="","",販売表!G53)</f>
        <v/>
      </c>
      <c r="L53" s="59" t="str">
        <f t="shared" si="4"/>
        <v/>
      </c>
      <c r="M53" s="187" t="str">
        <f t="shared" si="5"/>
        <v/>
      </c>
      <c r="N53" s="59" t="str">
        <f t="shared" si="6"/>
        <v/>
      </c>
      <c r="O53" s="34"/>
      <c r="P53" s="7" t="str">
        <f t="shared" si="7"/>
        <v/>
      </c>
      <c r="Q53" s="7" t="str">
        <f t="shared" si="8"/>
        <v/>
      </c>
    </row>
    <row r="54" spans="1:17" ht="15">
      <c r="A54" s="64" t="str">
        <f>IF(販売表!A54=0,"",販売表!A54)</f>
        <v/>
      </c>
      <c r="B54" s="14"/>
      <c r="C54" s="193" t="str">
        <f>IF($A54="","",販売表!C54)</f>
        <v/>
      </c>
      <c r="D54" s="59" t="str">
        <f t="shared" si="0"/>
        <v/>
      </c>
      <c r="E54" s="193" t="str">
        <f>IF($A54="","",販売表!D54)</f>
        <v/>
      </c>
      <c r="F54" s="59" t="str">
        <f t="shared" si="1"/>
        <v/>
      </c>
      <c r="G54" s="193" t="str">
        <f>IF($A54="","",販売表!E54)</f>
        <v/>
      </c>
      <c r="H54" s="59" t="str">
        <f t="shared" si="2"/>
        <v/>
      </c>
      <c r="I54" s="171" t="str">
        <f>IF($A54="","",販売表!F54)</f>
        <v/>
      </c>
      <c r="J54" s="59" t="str">
        <f t="shared" si="3"/>
        <v/>
      </c>
      <c r="K54" s="171" t="str">
        <f>IF($A54="","",販売表!G54)</f>
        <v/>
      </c>
      <c r="L54" s="59" t="str">
        <f t="shared" si="4"/>
        <v/>
      </c>
      <c r="M54" s="187" t="str">
        <f t="shared" si="5"/>
        <v/>
      </c>
      <c r="N54" s="59" t="str">
        <f t="shared" si="6"/>
        <v/>
      </c>
      <c r="O54" s="34"/>
      <c r="P54" s="7" t="str">
        <f t="shared" si="7"/>
        <v/>
      </c>
      <c r="Q54" s="7" t="str">
        <f t="shared" si="8"/>
        <v/>
      </c>
    </row>
    <row r="55" spans="1:17" ht="15">
      <c r="A55" s="64" t="str">
        <f>IF(販売表!A55=0,"",販売表!A55)</f>
        <v/>
      </c>
      <c r="B55" s="14"/>
      <c r="C55" s="193" t="str">
        <f>IF($A55="","",販売表!C55)</f>
        <v/>
      </c>
      <c r="D55" s="59" t="str">
        <f t="shared" si="0"/>
        <v/>
      </c>
      <c r="E55" s="193" t="str">
        <f>IF($A55="","",販売表!D55)</f>
        <v/>
      </c>
      <c r="F55" s="59" t="str">
        <f t="shared" si="1"/>
        <v/>
      </c>
      <c r="G55" s="193" t="str">
        <f>IF($A55="","",販売表!E55)</f>
        <v/>
      </c>
      <c r="H55" s="59" t="str">
        <f t="shared" si="2"/>
        <v/>
      </c>
      <c r="I55" s="171" t="str">
        <f>IF($A55="","",販売表!F55)</f>
        <v/>
      </c>
      <c r="J55" s="59" t="str">
        <f t="shared" si="3"/>
        <v/>
      </c>
      <c r="K55" s="171" t="str">
        <f>IF($A55="","",販売表!G55)</f>
        <v/>
      </c>
      <c r="L55" s="59" t="str">
        <f t="shared" si="4"/>
        <v/>
      </c>
      <c r="M55" s="187" t="str">
        <f t="shared" si="5"/>
        <v/>
      </c>
      <c r="N55" s="59" t="str">
        <f t="shared" si="6"/>
        <v/>
      </c>
      <c r="O55" s="34"/>
      <c r="P55" s="7" t="str">
        <f t="shared" si="7"/>
        <v/>
      </c>
      <c r="Q55" s="7" t="str">
        <f t="shared" si="8"/>
        <v/>
      </c>
    </row>
    <row r="56" spans="1:17" ht="15">
      <c r="A56" s="64" t="str">
        <f>IF(販売表!A56=0,"",販売表!A56)</f>
        <v/>
      </c>
      <c r="B56" s="14"/>
      <c r="C56" s="193" t="str">
        <f>IF($A56="","",販売表!C56)</f>
        <v/>
      </c>
      <c r="D56" s="59" t="str">
        <f t="shared" si="0"/>
        <v/>
      </c>
      <c r="E56" s="193" t="str">
        <f>IF($A56="","",販売表!D56)</f>
        <v/>
      </c>
      <c r="F56" s="59" t="str">
        <f t="shared" si="1"/>
        <v/>
      </c>
      <c r="G56" s="193" t="str">
        <f>IF($A56="","",販売表!E56)</f>
        <v/>
      </c>
      <c r="H56" s="59" t="str">
        <f t="shared" si="2"/>
        <v/>
      </c>
      <c r="I56" s="171" t="str">
        <f>IF($A56="","",販売表!F56)</f>
        <v/>
      </c>
      <c r="J56" s="59" t="str">
        <f t="shared" si="3"/>
        <v/>
      </c>
      <c r="K56" s="171" t="str">
        <f>IF($A56="","",販売表!G56)</f>
        <v/>
      </c>
      <c r="L56" s="59" t="str">
        <f t="shared" si="4"/>
        <v/>
      </c>
      <c r="M56" s="187" t="str">
        <f t="shared" si="5"/>
        <v/>
      </c>
      <c r="N56" s="59" t="str">
        <f t="shared" si="6"/>
        <v/>
      </c>
      <c r="O56" s="34"/>
      <c r="P56" s="7" t="str">
        <f t="shared" si="7"/>
        <v/>
      </c>
      <c r="Q56" s="7" t="str">
        <f t="shared" si="8"/>
        <v/>
      </c>
    </row>
    <row r="57" spans="1:17" ht="15.75" thickBot="1">
      <c r="A57" s="285" t="str">
        <f>IF(販売表!A57=0,"",販売表!A57)</f>
        <v/>
      </c>
      <c r="B57" s="286"/>
      <c r="C57" s="287" t="str">
        <f>IF($A57="","",販売表!C57)</f>
        <v/>
      </c>
      <c r="D57" s="288" t="str">
        <f>IF($A57="","",$B57*C57)</f>
        <v/>
      </c>
      <c r="E57" s="287" t="str">
        <f>IF($A57="","",販売表!D57)</f>
        <v/>
      </c>
      <c r="F57" s="288" t="str">
        <f>IF($A57="","",$B57*E57)</f>
        <v/>
      </c>
      <c r="G57" s="287" t="str">
        <f>IF($A57="","",販売表!E57)</f>
        <v/>
      </c>
      <c r="H57" s="288" t="str">
        <f>IF($A57="","",$B57*G57)</f>
        <v/>
      </c>
      <c r="I57" s="289" t="str">
        <f>IF($A57="","",販売表!F57)</f>
        <v/>
      </c>
      <c r="J57" s="288" t="str">
        <f>IF($A57="","",$B57*I57)</f>
        <v/>
      </c>
      <c r="K57" s="289" t="str">
        <f>IF($A57="","",販売表!G57)</f>
        <v/>
      </c>
      <c r="L57" s="288" t="str">
        <f>IF($A57="","",$B57*K57)</f>
        <v/>
      </c>
      <c r="M57" s="290" t="str">
        <f>IF(A57="","",C57+E57+G57+I57+K57)</f>
        <v/>
      </c>
      <c r="N57" s="288" t="str">
        <f>IF(A57="","",B57*M57)</f>
        <v/>
      </c>
      <c r="O57" s="291"/>
      <c r="P57" s="292" t="str">
        <f>IF(A57="","",M57*O57)</f>
        <v/>
      </c>
      <c r="Q57" s="292" t="str">
        <f t="shared" si="8"/>
        <v/>
      </c>
    </row>
    <row r="58" spans="1:17" ht="15.75" thickBot="1">
      <c r="A58" s="296" t="s">
        <v>14</v>
      </c>
      <c r="B58" s="297"/>
      <c r="C58" s="298">
        <f>SUM(C4:C57)</f>
        <v>0</v>
      </c>
      <c r="D58" s="298">
        <f t="shared" ref="D58:M58" si="9">SUM(D4:D57)</f>
        <v>0</v>
      </c>
      <c r="E58" s="298">
        <f t="shared" si="9"/>
        <v>0</v>
      </c>
      <c r="F58" s="298">
        <f t="shared" si="9"/>
        <v>0</v>
      </c>
      <c r="G58" s="298">
        <f t="shared" si="9"/>
        <v>0</v>
      </c>
      <c r="H58" s="298">
        <f t="shared" si="9"/>
        <v>0</v>
      </c>
      <c r="I58" s="298">
        <f t="shared" si="9"/>
        <v>0</v>
      </c>
      <c r="J58" s="298">
        <f t="shared" si="9"/>
        <v>0</v>
      </c>
      <c r="K58" s="298">
        <f t="shared" si="9"/>
        <v>0</v>
      </c>
      <c r="L58" s="298">
        <f t="shared" si="9"/>
        <v>0</v>
      </c>
      <c r="M58" s="299">
        <f t="shared" si="9"/>
        <v>0</v>
      </c>
      <c r="N58" s="300">
        <f t="shared" ref="N58" si="10">B58*M58</f>
        <v>0</v>
      </c>
      <c r="O58" s="297"/>
      <c r="P58" s="297">
        <f>SUM(P4:P57)</f>
        <v>0</v>
      </c>
      <c r="Q58" s="301"/>
    </row>
    <row r="59" spans="1:17" ht="15">
      <c r="A59" s="293"/>
      <c r="B59" s="294"/>
      <c r="C59" s="321" t="s">
        <v>101</v>
      </c>
      <c r="D59" s="321"/>
      <c r="E59" s="322" t="s">
        <v>102</v>
      </c>
      <c r="F59" s="322"/>
      <c r="G59" s="323" t="s">
        <v>103</v>
      </c>
      <c r="H59" s="323"/>
      <c r="I59" s="324" t="s">
        <v>104</v>
      </c>
      <c r="J59" s="325"/>
      <c r="K59" s="326" t="s">
        <v>105</v>
      </c>
      <c r="L59" s="327"/>
      <c r="M59" s="319" t="s">
        <v>15</v>
      </c>
      <c r="N59" s="320"/>
      <c r="O59" s="295"/>
      <c r="P59" s="295"/>
      <c r="Q59" s="295"/>
    </row>
    <row r="61" spans="1:17" ht="18" thickBot="1">
      <c r="G61" s="181" t="s">
        <v>76</v>
      </c>
      <c r="H61" s="182" t="s">
        <v>77</v>
      </c>
      <c r="I61" s="61" t="s">
        <v>78</v>
      </c>
      <c r="J61" s="184" t="s">
        <v>79</v>
      </c>
      <c r="K61" s="183" t="s">
        <v>80</v>
      </c>
      <c r="L61" s="60"/>
      <c r="M61" s="60"/>
      <c r="N61" s="61" t="s">
        <v>9</v>
      </c>
    </row>
    <row r="62" spans="1:17" ht="18" thickBot="1">
      <c r="G62" s="62">
        <f>D58</f>
        <v>0</v>
      </c>
      <c r="H62" s="62">
        <f>F58</f>
        <v>0</v>
      </c>
      <c r="I62" s="62">
        <f>H58</f>
        <v>0</v>
      </c>
      <c r="J62" s="62">
        <f>J58</f>
        <v>0</v>
      </c>
      <c r="K62" s="62">
        <f>L58</f>
        <v>0</v>
      </c>
      <c r="L62" s="62"/>
      <c r="M62" s="62"/>
      <c r="N62" s="64">
        <f>SUM(G62:M62)</f>
        <v>0</v>
      </c>
      <c r="P62" s="65" t="s">
        <v>19</v>
      </c>
      <c r="Q62" s="66">
        <f>P58*1.08</f>
        <v>0</v>
      </c>
    </row>
  </sheetData>
  <mergeCells count="6">
    <mergeCell ref="M59:N59"/>
    <mergeCell ref="C59:D59"/>
    <mergeCell ref="E59:F59"/>
    <mergeCell ref="G59:H59"/>
    <mergeCell ref="I59:J59"/>
    <mergeCell ref="K59:L59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商品マスタ</vt:lpstr>
      <vt:lpstr>販売表</vt:lpstr>
      <vt:lpstr>箱数計算書</vt:lpstr>
      <vt:lpstr>天板換算表</vt:lpstr>
      <vt:lpstr>換算１</vt:lpstr>
      <vt:lpstr>箱入り数表</vt:lpstr>
      <vt:lpstr>計算</vt:lpstr>
      <vt:lpstr>換算１!Print_Area</vt:lpstr>
      <vt:lpstr>天板換算表!Print_Area</vt:lpstr>
      <vt:lpstr>箱数計算書!Print_Area</vt:lpstr>
      <vt:lpstr>箱入り数表!Print_Area</vt:lpstr>
      <vt:lpstr>販売表!Print_Area</vt:lpstr>
      <vt:lpstr>天板換算表!Print_Titles</vt:lpstr>
      <vt:lpstr>箱数計算書!Print_Titles</vt:lpstr>
      <vt:lpstr>販売表!Print_Titles</vt:lpstr>
      <vt:lpstr>天板換算表!南</vt:lpstr>
      <vt:lpstr>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松屋</dc:creator>
  <cp:lastModifiedBy>Jun Kubota</cp:lastModifiedBy>
  <cp:lastPrinted>2026-09-12T08:25:38Z</cp:lastPrinted>
  <dcterms:created xsi:type="dcterms:W3CDTF">2007-06-12T05:01:03Z</dcterms:created>
  <dcterms:modified xsi:type="dcterms:W3CDTF">2026-09-26T08:31:55Z</dcterms:modified>
</cp:coreProperties>
</file>